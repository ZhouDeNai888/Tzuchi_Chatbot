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
    </mc:Choice>
  </mc:AlternateContent>
  <bookViews>
    <workbookView xWindow="0" yWindow="0" windowWidth="20520" windowHeight="9945" activeTab="2"/>
  </bookViews>
  <sheets>
    <sheet name="說明" sheetId="1" r:id="rId1"/>
    <sheet name="附表一_固定燃排放源排放係數" sheetId="2" r:id="rId2"/>
    <sheet name="附表一_移動燃燒排放源排放係數" sheetId="3" r:id="rId3"/>
    <sheet name="附表二_非金屬礦物製品製造" sheetId="4" r:id="rId4"/>
    <sheet name="附表二_化學製品製造" sheetId="5" r:id="rId5"/>
    <sheet name="附表二_金屬製品製造" sheetId="6" r:id="rId6"/>
    <sheet name="附表二_非能源產品使用或生產" sheetId="7" r:id="rId7"/>
    <sheet name="附表二_電子製品製造" sheetId="8" r:id="rId8"/>
    <sheet name="附表三" sheetId="9" r:id="rId9"/>
    <sheet name="附表四" sheetId="10" r:id="rId10"/>
  </sheets>
  <definedNames>
    <definedName name="_Hlk156317418" localSheetId="8">附表三!$C$71</definedName>
  </definedNames>
  <calcPr calcId="162913" fullCalcOnLoad="1"/>
</workbook>
</file>

<file path=xl/calcChain.xml><?xml version="1.0" encoding="utf-8"?>
<calcChain xmlns="http://schemas.openxmlformats.org/spreadsheetml/2006/main">
  <c r="L9" i="3" l="1"/>
  <c r="O26" i="3"/>
  <c r="N26" i="3"/>
  <c r="P26" i="3" s="1"/>
  <c r="K9" i="3"/>
  <c r="J9" i="3"/>
  <c r="P24" i="3"/>
  <c r="O24" i="3"/>
  <c r="N24" i="3"/>
  <c r="V46" i="2"/>
  <c r="U46" i="2"/>
  <c r="W18" i="2"/>
  <c r="V18" i="2"/>
  <c r="T18" i="2"/>
  <c r="U18" i="2"/>
  <c r="T46" i="2"/>
  <c r="I31" i="3"/>
  <c r="F31" i="3"/>
  <c r="E31" i="3"/>
  <c r="J30" i="3"/>
  <c r="I30" i="3"/>
  <c r="F30" i="3"/>
  <c r="E30" i="3"/>
  <c r="J29" i="3"/>
  <c r="I29" i="3"/>
  <c r="F29" i="3"/>
  <c r="E29" i="3"/>
  <c r="J28" i="3"/>
  <c r="I28" i="3"/>
  <c r="F28" i="3"/>
  <c r="E28" i="3"/>
  <c r="J27" i="3"/>
  <c r="I27" i="3"/>
  <c r="F27" i="3"/>
  <c r="E27" i="3"/>
  <c r="J26" i="3"/>
  <c r="I26" i="3"/>
  <c r="F26" i="3"/>
  <c r="E26" i="3"/>
  <c r="J25" i="3"/>
  <c r="I25" i="3"/>
  <c r="F25" i="3"/>
  <c r="E25" i="3"/>
  <c r="I24" i="3"/>
  <c r="F24" i="3"/>
  <c r="J24" i="3" s="1"/>
  <c r="E24" i="3"/>
  <c r="G15" i="3"/>
  <c r="D15" i="3"/>
  <c r="G14" i="3"/>
  <c r="D14" i="3"/>
  <c r="G13" i="3"/>
  <c r="D13" i="3"/>
  <c r="G12" i="3"/>
  <c r="D12" i="3"/>
  <c r="G11" i="3"/>
  <c r="D11" i="3"/>
  <c r="G10" i="3"/>
  <c r="D10" i="3"/>
  <c r="D9" i="3"/>
  <c r="G9" i="3" s="1"/>
  <c r="O61" i="2"/>
  <c r="N61" i="2"/>
  <c r="M61" i="2"/>
  <c r="J61" i="2"/>
  <c r="I61" i="2"/>
  <c r="H61" i="2"/>
  <c r="O60" i="2"/>
  <c r="N60" i="2"/>
  <c r="M60" i="2"/>
  <c r="J60" i="2"/>
  <c r="I60" i="2"/>
  <c r="H60" i="2"/>
  <c r="O59" i="2"/>
  <c r="N59" i="2"/>
  <c r="M59" i="2"/>
  <c r="J59" i="2"/>
  <c r="I59" i="2"/>
  <c r="H59" i="2"/>
  <c r="O58" i="2"/>
  <c r="N58" i="2"/>
  <c r="M58" i="2"/>
  <c r="J58" i="2"/>
  <c r="I58" i="2"/>
  <c r="H58" i="2"/>
  <c r="O57" i="2"/>
  <c r="N57" i="2"/>
  <c r="M57" i="2"/>
  <c r="J57" i="2"/>
  <c r="I57" i="2"/>
  <c r="H57" i="2"/>
  <c r="O56" i="2"/>
  <c r="N56" i="2"/>
  <c r="M56" i="2"/>
  <c r="J56" i="2"/>
  <c r="I56" i="2"/>
  <c r="H56" i="2"/>
  <c r="O55" i="2"/>
  <c r="N55" i="2"/>
  <c r="M55" i="2"/>
  <c r="J55" i="2"/>
  <c r="I55" i="2"/>
  <c r="H55" i="2"/>
  <c r="O54" i="2"/>
  <c r="N54" i="2"/>
  <c r="M54" i="2"/>
  <c r="J54" i="2"/>
  <c r="I54" i="2"/>
  <c r="H54" i="2"/>
  <c r="O53" i="2"/>
  <c r="N53" i="2"/>
  <c r="M53" i="2"/>
  <c r="J53" i="2"/>
  <c r="I53" i="2"/>
  <c r="H53" i="2"/>
  <c r="O52" i="2"/>
  <c r="N52" i="2"/>
  <c r="M52" i="2"/>
  <c r="J52" i="2"/>
  <c r="I52" i="2"/>
  <c r="H52" i="2"/>
  <c r="O51" i="2"/>
  <c r="N51" i="2"/>
  <c r="M51" i="2"/>
  <c r="J51" i="2"/>
  <c r="I51" i="2"/>
  <c r="H51" i="2"/>
  <c r="O50" i="2"/>
  <c r="N50" i="2"/>
  <c r="M50" i="2"/>
  <c r="J50" i="2"/>
  <c r="I50" i="2"/>
  <c r="H50" i="2"/>
  <c r="O49" i="2"/>
  <c r="N49" i="2"/>
  <c r="M49" i="2"/>
  <c r="J49" i="2"/>
  <c r="I49" i="2"/>
  <c r="H49" i="2"/>
  <c r="O48" i="2"/>
  <c r="N48" i="2"/>
  <c r="M48" i="2"/>
  <c r="J48" i="2"/>
  <c r="I48" i="2"/>
  <c r="H48" i="2"/>
  <c r="O47" i="2"/>
  <c r="N47" i="2"/>
  <c r="M47" i="2"/>
  <c r="J47" i="2"/>
  <c r="I47" i="2"/>
  <c r="H47" i="2"/>
  <c r="O46" i="2"/>
  <c r="N46" i="2"/>
  <c r="M46" i="2"/>
  <c r="J46" i="2"/>
  <c r="I46" i="2"/>
  <c r="H46" i="2"/>
  <c r="O45" i="2"/>
  <c r="N45" i="2"/>
  <c r="M45" i="2"/>
  <c r="J45" i="2"/>
  <c r="I45" i="2"/>
  <c r="H45" i="2"/>
  <c r="O44" i="2"/>
  <c r="N44" i="2"/>
  <c r="M44" i="2"/>
  <c r="J44" i="2"/>
  <c r="I44" i="2"/>
  <c r="H44" i="2"/>
  <c r="O43" i="2"/>
  <c r="N43" i="2"/>
  <c r="M43" i="2"/>
  <c r="J43" i="2"/>
  <c r="I43" i="2"/>
  <c r="H43" i="2"/>
  <c r="O42" i="2"/>
  <c r="N42" i="2"/>
  <c r="M42" i="2"/>
  <c r="J42" i="2"/>
  <c r="I42" i="2"/>
  <c r="H42" i="2"/>
  <c r="O41" i="2"/>
  <c r="N41" i="2"/>
  <c r="M41" i="2"/>
  <c r="J41" i="2"/>
  <c r="I41" i="2"/>
  <c r="H41" i="2"/>
  <c r="O40" i="2"/>
  <c r="N40" i="2"/>
  <c r="M40" i="2"/>
  <c r="J40" i="2"/>
  <c r="I40" i="2"/>
  <c r="H40" i="2"/>
  <c r="O39" i="2"/>
  <c r="N39" i="2"/>
  <c r="M39" i="2"/>
  <c r="J39" i="2"/>
  <c r="I39" i="2"/>
  <c r="H39" i="2"/>
  <c r="O38" i="2"/>
  <c r="N38" i="2"/>
  <c r="M38" i="2"/>
  <c r="J38" i="2"/>
  <c r="I38" i="2"/>
  <c r="H38" i="2"/>
  <c r="O37" i="2"/>
  <c r="N37" i="2"/>
  <c r="M37" i="2"/>
  <c r="J37" i="2"/>
  <c r="I37" i="2"/>
  <c r="H37" i="2"/>
  <c r="O36" i="2"/>
  <c r="N36" i="2"/>
  <c r="M36" i="2"/>
  <c r="J36" i="2"/>
  <c r="I36" i="2"/>
  <c r="H36" i="2"/>
  <c r="O35" i="2"/>
  <c r="N35" i="2"/>
  <c r="M35" i="2"/>
  <c r="J35" i="2"/>
  <c r="I35" i="2"/>
  <c r="H35" i="2"/>
  <c r="O34" i="2"/>
  <c r="N34" i="2"/>
  <c r="M34" i="2"/>
  <c r="J34" i="2"/>
  <c r="I34" i="2"/>
  <c r="H34" i="2"/>
  <c r="O33" i="2"/>
  <c r="N33" i="2"/>
  <c r="M33" i="2"/>
  <c r="J33" i="2"/>
  <c r="I33" i="2"/>
  <c r="H33" i="2"/>
  <c r="O32" i="2"/>
  <c r="N32" i="2"/>
  <c r="M32" i="2"/>
  <c r="J32" i="2"/>
  <c r="I32" i="2"/>
  <c r="H32" i="2"/>
  <c r="O31" i="2"/>
  <c r="N31" i="2"/>
  <c r="M31" i="2"/>
  <c r="J31" i="2"/>
  <c r="I31" i="2"/>
  <c r="H31" i="2"/>
  <c r="O30" i="2"/>
  <c r="N30" i="2"/>
  <c r="M30" i="2"/>
  <c r="J30" i="2"/>
  <c r="I30" i="2"/>
  <c r="H30" i="2"/>
  <c r="O29" i="2"/>
  <c r="N29" i="2"/>
  <c r="M29" i="2"/>
  <c r="J29" i="2"/>
  <c r="I29" i="2"/>
  <c r="H29" i="2"/>
  <c r="O28" i="2"/>
  <c r="N28" i="2"/>
  <c r="M28" i="2"/>
  <c r="J28" i="2"/>
  <c r="I28" i="2"/>
  <c r="H28" i="2"/>
  <c r="O27" i="2"/>
  <c r="N27" i="2"/>
  <c r="M27" i="2"/>
  <c r="J27" i="2"/>
  <c r="I27" i="2"/>
  <c r="H27" i="2"/>
  <c r="O26" i="2"/>
  <c r="N26" i="2"/>
  <c r="M26" i="2"/>
  <c r="J26" i="2"/>
  <c r="I26" i="2"/>
  <c r="H26" i="2"/>
  <c r="O25" i="2"/>
  <c r="N25" i="2"/>
  <c r="M25" i="2"/>
  <c r="J25" i="2"/>
  <c r="I25" i="2"/>
  <c r="H25" i="2"/>
  <c r="O24" i="2"/>
  <c r="N24" i="2"/>
  <c r="M24" i="2"/>
  <c r="J24" i="2"/>
  <c r="I24" i="2"/>
  <c r="H24" i="2"/>
  <c r="O23" i="2"/>
  <c r="N23" i="2"/>
  <c r="M23" i="2"/>
  <c r="J23" i="2"/>
  <c r="I23" i="2"/>
  <c r="H23" i="2"/>
  <c r="O22" i="2"/>
  <c r="N22" i="2"/>
  <c r="M22" i="2"/>
  <c r="J22" i="2"/>
  <c r="I22" i="2"/>
  <c r="H22" i="2"/>
  <c r="O21" i="2"/>
  <c r="N21" i="2"/>
  <c r="M21" i="2"/>
  <c r="J21" i="2"/>
  <c r="I21" i="2"/>
  <c r="H21" i="2"/>
  <c r="O20" i="2"/>
  <c r="N20" i="2"/>
  <c r="M20" i="2"/>
  <c r="J20" i="2"/>
  <c r="I20" i="2"/>
  <c r="H20" i="2"/>
  <c r="O19" i="2"/>
  <c r="N19" i="2"/>
  <c r="M19" i="2"/>
  <c r="J19" i="2"/>
  <c r="I19" i="2"/>
  <c r="H19" i="2"/>
  <c r="O18" i="2"/>
  <c r="N18" i="2"/>
  <c r="M18" i="2"/>
  <c r="J18" i="2"/>
  <c r="I18" i="2"/>
  <c r="H18" i="2"/>
  <c r="O17" i="2"/>
  <c r="N17" i="2"/>
  <c r="M17" i="2"/>
  <c r="J17" i="2"/>
  <c r="I17" i="2"/>
  <c r="H17" i="2"/>
  <c r="O16" i="2"/>
  <c r="N16" i="2"/>
  <c r="M16" i="2"/>
  <c r="J16" i="2"/>
  <c r="I16" i="2"/>
  <c r="H16" i="2"/>
  <c r="O15" i="2"/>
  <c r="N15" i="2"/>
  <c r="M15" i="2"/>
  <c r="J15" i="2"/>
  <c r="I15" i="2"/>
  <c r="H15" i="2"/>
  <c r="O14" i="2"/>
  <c r="N14" i="2"/>
  <c r="M14" i="2"/>
  <c r="J14" i="2"/>
  <c r="I14" i="2"/>
  <c r="H14" i="2"/>
  <c r="O13" i="2"/>
  <c r="N13" i="2"/>
  <c r="M13" i="2"/>
  <c r="J13" i="2"/>
  <c r="I13" i="2"/>
  <c r="H13" i="2"/>
  <c r="O12" i="2"/>
  <c r="V12" i="2" s="1"/>
  <c r="N12" i="2"/>
  <c r="U12" i="2" s="1"/>
  <c r="M12" i="2"/>
  <c r="T12" i="2" s="1"/>
  <c r="J12" i="2"/>
  <c r="I12" i="2"/>
  <c r="H12" i="2"/>
  <c r="O11" i="2"/>
  <c r="N11" i="2"/>
  <c r="M11" i="2"/>
  <c r="J11" i="2"/>
  <c r="I11" i="2"/>
  <c r="H11" i="2"/>
  <c r="O10" i="2"/>
  <c r="N10" i="2"/>
  <c r="M10" i="2"/>
  <c r="J10" i="2"/>
  <c r="I10" i="2"/>
  <c r="H10" i="2"/>
  <c r="O9" i="2"/>
  <c r="N9" i="2"/>
  <c r="M9" i="2"/>
  <c r="J9" i="2"/>
  <c r="I9" i="2"/>
  <c r="H9" i="2"/>
  <c r="W46" i="2" l="1"/>
  <c r="W12" i="2"/>
</calcChain>
</file>

<file path=xl/sharedStrings.xml><?xml version="1.0" encoding="utf-8"?>
<sst xmlns="http://schemas.openxmlformats.org/spreadsheetml/2006/main" count="2141" uniqueCount="1032">
  <si>
    <t>環境部於中華民國113年2月5日依環部授氣字第1139101231號公告「溫室氣體排放係數」</t>
  </si>
  <si>
    <t>法源依據</t>
  </si>
  <si>
    <t>溫室氣體排放量盤查登錄及查驗管理辦法第四條第二項第一款。</t>
  </si>
  <si>
    <t>公告事項</t>
  </si>
  <si>
    <t>一、事業盤查溫室氣體排放量以排放係數法計算者，採用之溫室氣體排放係數如下：
       (一) 固定與移動燃燒排放源排放係數如附表一。
       (二) 製程排放源排放係數如附表二。
       (三) 逸散排放源排放係數如附表三。
       (四) 外購電力或蒸汽之能源間接排放源接排放係數採用版本如下：
             1. 購買或使用公用售電業電力者，依盤查及查驗時經濟部最新公告之電力排碳係數。
             2.購買或使用非公用售電業電力者，依供應商提供最新版之電力排放係數。
             3.購買或使用蒸汽者，依供應商提供最新版之蒸汽排放係數。
二、事業計算溫室氣體排放量使用之溫暖化潛勢如附表四。</t>
  </si>
  <si>
    <t>附表</t>
  </si>
  <si>
    <t>表名稱</t>
  </si>
  <si>
    <t>資料來源</t>
  </si>
  <si>
    <t>附表一、固定與移動燃燒排放源排放係數</t>
  </si>
  <si>
    <t>一、固定燃燒排放源排放係數</t>
  </si>
  <si>
    <t>2006 IPCC Guidelines for National Greenhouse Gas Inventories, Volume 2 Energy, chapter 2: Stationary Combustion</t>
  </si>
  <si>
    <t>二、移動燃燒排放源排放係數</t>
  </si>
  <si>
    <t>2006 IPCC Guidelines for National Greenhouse Gas Inventories, Volume 2 Energy, Chapter 3: Mobile Combustion</t>
  </si>
  <si>
    <t>附表二、製程排放之係數</t>
  </si>
  <si>
    <t>一、非金屬礦物製品製造</t>
  </si>
  <si>
    <t>2006 IPCC Guidelines for National Greenhouse Gas Inventories, Volume 3 Industrial Processes and Product Use, chapter 2: Mineral Industry Emissions
2019 IPCC Guidelines for National Greenhouse Gas Inventories, Volume 3 Industrial Processes and Product Use, chapter 3:Chemical Industry Emissions</t>
  </si>
  <si>
    <t>二、化學製品製造</t>
  </si>
  <si>
    <t>2006 IPCC Guidelines for National Greenhouse Gas Inventories, Volume 3 Industrial Processes and Product Use, chapter 3:Chemical Industry Emissions</t>
  </si>
  <si>
    <t>三、金屬製品製造</t>
  </si>
  <si>
    <t>2006 IPCC Guidelines for National Greenhouse Gas Inventories, Volume 3 Industrial Processes and Product Use, chapter 4:Metal Industry Emissions
2019 IPCC Guidelines for National Greenhouse Gas Inventories, Volume 3 Industrial Processes and Product Use, chapter 4:Metal Industry Emissions</t>
  </si>
  <si>
    <t>四、非能源產品使用或生產</t>
  </si>
  <si>
    <t>2006 IPCC Guidelines for National Greenhouse Gas Inventories, Volume 3 Industrial Processes and Product Use, Chapter 5: Non-Energy Products from Fuels and Solvent Use</t>
  </si>
  <si>
    <t>五、電子製品製造</t>
  </si>
  <si>
    <t>2019 IPCC Guidelines for National Greenhouse Gas Inventories, Volume 3 Industrial Processes and Product Use, Chapter 6: Electronics Industry Emissions</t>
  </si>
  <si>
    <t>附表三、逸散排放之係數</t>
  </si>
  <si>
    <t>一、生活廢水及廢棄污泥</t>
  </si>
  <si>
    <t>2006 IPCC Guidelines for National Greenhouse Gas Inventories, Volume 5 Waste, Chapter 6: Wastewater Treatment and Discharge</t>
  </si>
  <si>
    <t>二、工業廢水</t>
  </si>
  <si>
    <t>三、冷凍及空調</t>
  </si>
  <si>
    <t>2006 IPCC Guidelines for National Greenhouse Gas Inventories, Volume 3 Industrial Processes and Product Use, Chapter 7: Emissions of Fluorinated Substitutes for Ozone Depleting Substances</t>
  </si>
  <si>
    <t>四、固體廢棄物</t>
  </si>
  <si>
    <t>2006 IPCC Guidelines for National Greenhouse Gas Inventories, Volume 5 Waste, Chapter 3: Solid Waste Disposal</t>
  </si>
  <si>
    <t>附表四、溫暖化潛勢（Global Warming Potential, GWP）</t>
  </si>
  <si>
    <t>The Working Group I contribution to the Fifth Assessment Report of the IPCC, 2013: Climate Change 2013: The Physical Science Basis, Chapter 8: Anthropogenic and Natural Radiative Forcing</t>
  </si>
  <si>
    <t>黃色欄位表示為公告「溫室氣體排放係數」之數值。</t>
  </si>
  <si>
    <t>灰色欄位為排放係數之單位轉換(TJ轉為Kcal)結果。</t>
  </si>
  <si>
    <t>藍色欄位由事業自行鍵入。</t>
  </si>
  <si>
    <t>粉色欄位為燃料單位熱值之排放係數與低位熱值之乘積。</t>
  </si>
  <si>
    <t>燃料</t>
  </si>
  <si>
    <t>英譯名稱</t>
  </si>
  <si>
    <t>燃料單位熱值之排放係數</t>
  </si>
  <si>
    <r>
      <t>燃料單位熱值之排放係數
(排放係數×4186.8×10</t>
    </r>
    <r>
      <rPr>
        <vertAlign val="superscript"/>
        <sz val="12"/>
        <color rgb="FF000000"/>
        <rFont val="Microsoft JhengHei Light"/>
        <family val="2"/>
        <charset val="2"/>
      </rPr>
      <t>-9</t>
    </r>
    <r>
      <rPr>
        <sz val="12"/>
        <color rgb="FF000000"/>
        <rFont val="Microsoft JhengHei Light"/>
        <family val="2"/>
      </rPr>
      <t>×10</t>
    </r>
    <r>
      <rPr>
        <vertAlign val="superscript"/>
        <sz val="12"/>
        <color rgb="FF000000"/>
        <rFont val="Microsoft JhengHei Light"/>
        <family val="2"/>
        <charset val="2"/>
      </rPr>
      <t>-3</t>
    </r>
  </si>
  <si>
    <t>低位熱值</t>
  </si>
  <si>
    <t>燃料單位重量/體積之排放係數</t>
  </si>
  <si>
    <t>公斤/兆焦耳(kg/TJ)</t>
  </si>
  <si>
    <t>公斤/仟卡(Kg/Kcal)</t>
  </si>
  <si>
    <r>
      <t>KgCO</t>
    </r>
    <r>
      <rPr>
        <vertAlign val="subscript"/>
        <sz val="12"/>
        <color rgb="FF000000"/>
        <rFont val="Microsoft JhengHei Light"/>
        <family val="2"/>
        <charset val="2"/>
      </rPr>
      <t>2</t>
    </r>
    <r>
      <rPr>
        <sz val="12"/>
        <color rgb="FF000000"/>
        <rFont val="Microsoft JhengHei Light"/>
        <family val="2"/>
      </rPr>
      <t>/Kg</t>
    </r>
  </si>
  <si>
    <r>
      <t>KgCH</t>
    </r>
    <r>
      <rPr>
        <vertAlign val="subscript"/>
        <sz val="12"/>
        <color rgb="FF000000"/>
        <rFont val="Microsoft JhengHei Light"/>
        <family val="2"/>
        <charset val="2"/>
      </rPr>
      <t>4</t>
    </r>
    <r>
      <rPr>
        <sz val="12"/>
        <color rgb="FF000000"/>
        <rFont val="Microsoft JhengHei Light"/>
        <family val="2"/>
      </rPr>
      <t>/Kg</t>
    </r>
  </si>
  <si>
    <r>
      <t>KgN</t>
    </r>
    <r>
      <rPr>
        <vertAlign val="subscript"/>
        <sz val="12"/>
        <color rgb="FF000000"/>
        <rFont val="Microsoft JhengHei Light"/>
        <family val="2"/>
        <charset val="2"/>
      </rPr>
      <t>2</t>
    </r>
    <r>
      <rPr>
        <sz val="12"/>
        <color rgb="FF000000"/>
        <rFont val="Microsoft JhengHei Light"/>
        <family val="2"/>
      </rPr>
      <t>O/Kg</t>
    </r>
  </si>
  <si>
    <r>
      <t>CO</t>
    </r>
    <r>
      <rPr>
        <vertAlign val="subscript"/>
        <sz val="12"/>
        <color rgb="FF000000"/>
        <rFont val="Microsoft JhengHei Light"/>
        <family val="2"/>
        <charset val="2"/>
      </rPr>
      <t>2</t>
    </r>
  </si>
  <si>
    <r>
      <t>CH</t>
    </r>
    <r>
      <rPr>
        <vertAlign val="subscript"/>
        <sz val="12"/>
        <color rgb="FF000000"/>
        <rFont val="Microsoft JhengHei Light"/>
        <family val="2"/>
        <charset val="2"/>
      </rPr>
      <t>4</t>
    </r>
  </si>
  <si>
    <r>
      <t>N</t>
    </r>
    <r>
      <rPr>
        <vertAlign val="subscript"/>
        <sz val="12"/>
        <color rgb="FF000000"/>
        <rFont val="Microsoft JhengHei Light"/>
        <family val="2"/>
        <charset val="2"/>
      </rPr>
      <t>2</t>
    </r>
    <r>
      <rPr>
        <sz val="12"/>
        <color rgb="FF000000"/>
        <rFont val="Microsoft JhengHei Light"/>
        <family val="2"/>
      </rPr>
      <t>O</t>
    </r>
  </si>
  <si>
    <r>
      <t>單位</t>
    </r>
    <r>
      <rPr>
        <sz val="9"/>
        <color rgb="FF000000"/>
        <rFont val="Microsoft JhengHei Light"/>
        <family val="2"/>
        <charset val="2"/>
      </rPr>
      <t>(下拉式選項)</t>
    </r>
  </si>
  <si>
    <t>數值</t>
  </si>
  <si>
    <t>原油</t>
  </si>
  <si>
    <t>Crude Oil</t>
  </si>
  <si>
    <t>奧里油</t>
  </si>
  <si>
    <t>Orimulsion</t>
  </si>
  <si>
    <t>液化天然氣</t>
  </si>
  <si>
    <t>Natural Gas Liquids (NGLs)</t>
  </si>
  <si>
    <t>汽油</t>
  </si>
  <si>
    <t>車用汽油</t>
  </si>
  <si>
    <t>Gasoline</t>
  </si>
  <si>
    <t>Motor Gasoline</t>
  </si>
  <si>
    <t>航空汽油</t>
  </si>
  <si>
    <t>Aviation Gasoline</t>
  </si>
  <si>
    <t>航空燃油-汽油型</t>
  </si>
  <si>
    <t>Jet Gasoline</t>
  </si>
  <si>
    <t>航空燃油-煤油型</t>
  </si>
  <si>
    <t>Jet Kerosene</t>
  </si>
  <si>
    <t>其他煤油</t>
  </si>
  <si>
    <t>Other Kerosene</t>
  </si>
  <si>
    <t>頁岩油</t>
  </si>
  <si>
    <t>Shale Oil</t>
  </si>
  <si>
    <t>柴油</t>
  </si>
  <si>
    <t>Gas/Diesel Oil</t>
  </si>
  <si>
    <t>燃料油</t>
  </si>
  <si>
    <t>Residual Fuel Oil</t>
  </si>
  <si>
    <t>液化石油氣</t>
  </si>
  <si>
    <t>Liquefied Petroleum Gases</t>
  </si>
  <si>
    <t>乙烷</t>
  </si>
  <si>
    <t>Ethane</t>
  </si>
  <si>
    <t>石油腦</t>
  </si>
  <si>
    <t>Naphtha</t>
  </si>
  <si>
    <t>瀝青</t>
  </si>
  <si>
    <t>Bitumen</t>
  </si>
  <si>
    <t>潤滑油</t>
  </si>
  <si>
    <t>Lubricants</t>
  </si>
  <si>
    <t>石油焦</t>
  </si>
  <si>
    <t>Petroleum Coke</t>
  </si>
  <si>
    <t>煉油廠進料</t>
  </si>
  <si>
    <t>Refinery Feedstocks</t>
  </si>
  <si>
    <t>其他油品</t>
  </si>
  <si>
    <t>煉油氣</t>
  </si>
  <si>
    <t>Other Oil</t>
  </si>
  <si>
    <t>Refinery Gas</t>
  </si>
  <si>
    <t>石蠟</t>
  </si>
  <si>
    <t>Paraffin Waxes</t>
  </si>
  <si>
    <t>白精油</t>
  </si>
  <si>
    <t>White Spirit &amp; SBP</t>
  </si>
  <si>
    <t>其他石油產品</t>
  </si>
  <si>
    <t>Other Petroleum Products</t>
  </si>
  <si>
    <t>無煙煤</t>
  </si>
  <si>
    <t>Anthracite</t>
  </si>
  <si>
    <t>煉焦煤</t>
  </si>
  <si>
    <t>Coking Coal</t>
  </si>
  <si>
    <t>其他煙煤</t>
  </si>
  <si>
    <t>Other Bituminous Coal</t>
  </si>
  <si>
    <t>亞煙煤</t>
  </si>
  <si>
    <t>Sub-Bituminous Coal</t>
  </si>
  <si>
    <t>褐煤</t>
  </si>
  <si>
    <t>Lignite</t>
  </si>
  <si>
    <t>油頁岩/焦油砂</t>
  </si>
  <si>
    <t>Oil Shale and Tar Sands</t>
  </si>
  <si>
    <t>褐煤塊</t>
  </si>
  <si>
    <t>Brown Coal Briquettes</t>
  </si>
  <si>
    <t>煤球</t>
  </si>
  <si>
    <t>Patent Fuel</t>
  </si>
  <si>
    <t>焦炭</t>
  </si>
  <si>
    <t>Coke</t>
  </si>
  <si>
    <t>Coke Oven Coke and Lignite Coke</t>
  </si>
  <si>
    <t>煤氣焦碳</t>
  </si>
  <si>
    <t>Gas Coke</t>
  </si>
  <si>
    <t>煤焦油</t>
  </si>
  <si>
    <t>Coal Tar</t>
  </si>
  <si>
    <t>衍生氣體</t>
  </si>
  <si>
    <t>煤氣廠氣體</t>
  </si>
  <si>
    <t>Derived Gases</t>
  </si>
  <si>
    <t>Gas Works Gas</t>
  </si>
  <si>
    <t>焦爐氣</t>
  </si>
  <si>
    <t>Coke Oven Gas</t>
  </si>
  <si>
    <t>高爐氣</t>
  </si>
  <si>
    <t>Blast Furnace Gas</t>
  </si>
  <si>
    <t>轉爐氣</t>
  </si>
  <si>
    <t>Oxygen Steel Furnace Gas</t>
  </si>
  <si>
    <t>天然氣</t>
  </si>
  <si>
    <t>Natural Gas</t>
  </si>
  <si>
    <t>都市廢棄物 - 非生質部分</t>
  </si>
  <si>
    <t>Municipal Wastes (non-biomass fraction)</t>
  </si>
  <si>
    <t>事業廢棄物</t>
  </si>
  <si>
    <t>Industrial Wastes</t>
  </si>
  <si>
    <t>廢油</t>
  </si>
  <si>
    <t>Waste Oils</t>
  </si>
  <si>
    <t>泥煤</t>
  </si>
  <si>
    <t>Peat</t>
  </si>
  <si>
    <t>固體生質燃料</t>
  </si>
  <si>
    <t>木材/ 廢材</t>
  </si>
  <si>
    <t>Solid Biofuels</t>
  </si>
  <si>
    <t>Wood/Wood Waste</t>
  </si>
  <si>
    <t>亞硫酸鹽廢液 / 黑液</t>
  </si>
  <si>
    <t>Sulphite lyes (Black Liquor)</t>
  </si>
  <si>
    <t>其他初級固體生質</t>
  </si>
  <si>
    <t>Other Primary Solid Biomass</t>
  </si>
  <si>
    <t>木炭</t>
  </si>
  <si>
    <t>Charcoal</t>
  </si>
  <si>
    <t>液體生質燃料</t>
  </si>
  <si>
    <t>生質汽油</t>
  </si>
  <si>
    <t>Liquid Biofuels</t>
  </si>
  <si>
    <t>Biogasoline</t>
  </si>
  <si>
    <t>生質柴油</t>
  </si>
  <si>
    <t>Biodiesels</t>
  </si>
  <si>
    <t>其他液體生質燃料</t>
  </si>
  <si>
    <t>Other Liquid Biofuels</t>
  </si>
  <si>
    <t>氣體生質燃料</t>
  </si>
  <si>
    <t>掩埋沼氣</t>
  </si>
  <si>
    <t>Gas Biomass</t>
  </si>
  <si>
    <t>Landfill Gas</t>
  </si>
  <si>
    <t>污泥沼氣</t>
  </si>
  <si>
    <t>Sludge Gas</t>
  </si>
  <si>
    <t>其他氣體生質燃料</t>
  </si>
  <si>
    <t>Other Biogas</t>
  </si>
  <si>
    <t>其他非石化燃料</t>
  </si>
  <si>
    <t>都市廢棄物 - 生質部分</t>
  </si>
  <si>
    <t>Other non-fossil fuels</t>
  </si>
  <si>
    <t>Municipal Wastes (biomass fraction)</t>
  </si>
  <si>
    <t>註1：此排放係數是基於低位熱值的結果。</t>
  </si>
  <si>
    <t>註2：1 千卡（kcal）= 4.1868×10-9 兆焦耳（TJ）。</t>
  </si>
  <si>
    <t>註3：燃料認定依2006 IPCC Guidelines for National Greenhouse Gas Inventories, Volume 2 Energy, chapter 1: Introduction, table 1.1之說明。</t>
  </si>
  <si>
    <t>註4：資料來源為2006 IPCC Guidelines for National Greenhouse Gas Inventories, Volume 2 Energy, chapter 2: Stationary Combustion, table 2.2。</t>
  </si>
  <si>
    <t>Gas/ Diesel</t>
  </si>
  <si>
    <t>煤油</t>
  </si>
  <si>
    <t>Kerosene</t>
  </si>
  <si>
    <t>壓縮天然氣</t>
  </si>
  <si>
    <t>Compressed Natural Gas</t>
  </si>
  <si>
    <t>Liquefied Natural Gas</t>
  </si>
  <si>
    <t>註4：資料來源為2006 IPCC Guidelines for National Greenhouse Gas Inventories, Volume 2 Energy, Chapter 3: Mobile Combustion, table 3.2.1。</t>
  </si>
  <si>
    <t>車用汽油-未控制</t>
  </si>
  <si>
    <t>Motor Gasoline - Uncontrolled</t>
  </si>
  <si>
    <t>車用汽油-氧化觸媒</t>
  </si>
  <si>
    <t>Motor Gasoline - Oxidation Catalyst</t>
  </si>
  <si>
    <t>車用汽油-1995年後之低里程輕型車輛</t>
  </si>
  <si>
    <t>Motor Gasoline - Low Mileage Light Duty Vehicle Vintage 1995 or Later</t>
  </si>
  <si>
    <t>Gas / Diesel Oil</t>
  </si>
  <si>
    <t>Liquified petroleum gas</t>
  </si>
  <si>
    <t>乙醇, 卡車</t>
  </si>
  <si>
    <t>Ethanol, trucks, US</t>
  </si>
  <si>
    <t>乙醇, 汽車</t>
  </si>
  <si>
    <t>Ethanol, cars, Brazil</t>
  </si>
  <si>
    <t>NA</t>
  </si>
  <si>
    <t>註4：資料來源為2006 IPCC Guidelines for National Greenhouse Gas Inventories, Volume 2Energy, Chapter 3: Mobile Combustion, table 3.2.2。</t>
  </si>
  <si>
    <t>（一）常見碳酸鹽物種的分子式、分子量及二氧化碳含量</t>
  </si>
  <si>
    <t>原料 （碳酸鹽）</t>
  </si>
  <si>
    <t>礦石名稱</t>
  </si>
  <si>
    <t>分子量</t>
  </si>
  <si>
    <r>
      <t>CO</t>
    </r>
    <r>
      <rPr>
        <vertAlign val="subscript"/>
        <sz val="12"/>
        <color rgb="FF000000"/>
        <rFont val="Microsoft JhengHei Light"/>
        <family val="2"/>
        <charset val="2"/>
      </rPr>
      <t>2</t>
    </r>
    <r>
      <rPr>
        <vertAlign val="subscript"/>
        <sz val="12"/>
        <color rgb="FF000000"/>
        <rFont val="Microsoft JhengHei Light"/>
        <family val="2"/>
        <charset val="2"/>
      </rPr>
      <t xml:space="preserve">
</t>
    </r>
    <r>
      <rPr>
        <sz val="12"/>
        <color rgb="FF000000"/>
        <rFont val="Microsoft JhengHei Light"/>
        <family val="2"/>
      </rPr>
      <t>（公噸/公噸碳酸鹽）</t>
    </r>
  </si>
  <si>
    <r>
      <t>CaCO</t>
    </r>
    <r>
      <rPr>
        <vertAlign val="subscript"/>
        <sz val="12"/>
        <color rgb="FF000000"/>
        <rFont val="Microsoft JhengHei Light"/>
        <family val="2"/>
        <charset val="2"/>
      </rPr>
      <t>3</t>
    </r>
  </si>
  <si>
    <t>方解石或霰石
(Calcite or aragonite)</t>
  </si>
  <si>
    <r>
      <t>MgCO</t>
    </r>
    <r>
      <rPr>
        <vertAlign val="subscript"/>
        <sz val="12"/>
        <color rgb="FF000000"/>
        <rFont val="Microsoft JhengHei Light"/>
        <family val="2"/>
        <charset val="2"/>
      </rPr>
      <t>3</t>
    </r>
  </si>
  <si>
    <t>菱鎂礦
(Magnesite)</t>
  </si>
  <si>
    <r>
      <t>CaMg(CO</t>
    </r>
    <r>
      <rPr>
        <vertAlign val="subscript"/>
        <sz val="12"/>
        <color rgb="FF000000"/>
        <rFont val="Microsoft JhengHei Light"/>
        <family val="2"/>
        <charset val="2"/>
      </rPr>
      <t>3</t>
    </r>
    <r>
      <rPr>
        <sz val="12"/>
        <color rgb="FF000000"/>
        <rFont val="Microsoft JhengHei Light"/>
        <family val="2"/>
      </rPr>
      <t>)</t>
    </r>
    <r>
      <rPr>
        <vertAlign val="subscript"/>
        <sz val="12"/>
        <color rgb="FF000000"/>
        <rFont val="Microsoft JhengHei Light"/>
        <family val="2"/>
        <charset val="2"/>
      </rPr>
      <t>2</t>
    </r>
  </si>
  <si>
    <t>白雲石
(Dolomite)</t>
  </si>
  <si>
    <r>
      <t>FeCO</t>
    </r>
    <r>
      <rPr>
        <vertAlign val="subscript"/>
        <sz val="12"/>
        <color rgb="FF000000"/>
        <rFont val="Microsoft JhengHei Light"/>
        <family val="2"/>
        <charset val="2"/>
      </rPr>
      <t>3</t>
    </r>
  </si>
  <si>
    <t>菱鐵礦
(Siderite)</t>
  </si>
  <si>
    <r>
      <t>Ca(Fe,Mg,Mn)(CO</t>
    </r>
    <r>
      <rPr>
        <vertAlign val="subscript"/>
        <sz val="12"/>
        <color rgb="FF000000"/>
        <rFont val="Microsoft JhengHei Light"/>
        <family val="2"/>
        <charset val="2"/>
      </rPr>
      <t>3</t>
    </r>
    <r>
      <rPr>
        <sz val="12"/>
        <color rgb="FF000000"/>
        <rFont val="Microsoft JhengHei Light"/>
        <family val="2"/>
      </rPr>
      <t>)</t>
    </r>
    <r>
      <rPr>
        <vertAlign val="subscript"/>
        <sz val="12"/>
        <color rgb="FF000000"/>
        <rFont val="Microsoft JhengHei Light"/>
        <family val="2"/>
        <charset val="2"/>
      </rPr>
      <t>2</t>
    </r>
  </si>
  <si>
    <t>鐵白雲石
(Ankerite)</t>
  </si>
  <si>
    <t>185.0225−215.6160</t>
  </si>
  <si>
    <t>0.40822−0.47572</t>
  </si>
  <si>
    <r>
      <t>MnCO</t>
    </r>
    <r>
      <rPr>
        <vertAlign val="subscript"/>
        <sz val="12"/>
        <color rgb="FF000000"/>
        <rFont val="Microsoft JhengHei Light"/>
        <family val="2"/>
        <charset val="2"/>
      </rPr>
      <t>3</t>
    </r>
  </si>
  <si>
    <t>菱錳礦
(Rhodochrosite)</t>
  </si>
  <si>
    <r>
      <t>Na</t>
    </r>
    <r>
      <rPr>
        <vertAlign val="subscript"/>
        <sz val="12"/>
        <color rgb="FF000000"/>
        <rFont val="Microsoft JhengHei Light"/>
        <family val="2"/>
        <charset val="2"/>
      </rPr>
      <t>2</t>
    </r>
    <r>
      <rPr>
        <sz val="12"/>
        <color rgb="FF000000"/>
        <rFont val="Microsoft JhengHei Light"/>
        <family val="2"/>
      </rPr>
      <t>CO</t>
    </r>
    <r>
      <rPr>
        <vertAlign val="subscript"/>
        <sz val="12"/>
        <color rgb="FF000000"/>
        <rFont val="Microsoft JhengHei Light"/>
        <family val="2"/>
        <charset val="2"/>
      </rPr>
      <t>3</t>
    </r>
  </si>
  <si>
    <t>碳酸鈉或純鹼
(Sodium carbonate or soda ash)</t>
  </si>
  <si>
    <t>註：資料來源為2006 IPCC Guidelines for National Greenhouse Gas Inventories, Volume 3 Industrial Processes and Product Use, chapter 2: Mineral Industry Emissions, table 2.1。</t>
  </si>
  <si>
    <t>（二）水泥產品</t>
  </si>
  <si>
    <t>產品</t>
  </si>
  <si>
    <r>
      <t>CO</t>
    </r>
    <r>
      <rPr>
        <vertAlign val="subscript"/>
        <sz val="12"/>
        <color rgb="FF000000"/>
        <rFont val="Microsoft JhengHei Light"/>
        <family val="2"/>
        <charset val="2"/>
      </rPr>
      <t>2</t>
    </r>
    <r>
      <rPr>
        <sz val="12"/>
        <color rgb="FF000000"/>
        <rFont val="Microsoft JhengHei Light"/>
        <family val="2"/>
      </rPr>
      <t>（公噸/公噸熟料）</t>
    </r>
  </si>
  <si>
    <t>熟料（Clinker）</t>
  </si>
  <si>
    <r>
      <t>0.52</t>
    </r>
    <r>
      <rPr>
        <vertAlign val="superscript"/>
        <sz val="12"/>
        <color rgb="FF000000"/>
        <rFont val="Microsoft JhengHei Light"/>
        <family val="2"/>
        <charset val="2"/>
      </rPr>
      <t>註1</t>
    </r>
  </si>
  <si>
    <r>
      <t>註1：該係數是假設熟料中CaO占比為65%，1 公噸熟料含來自CaCO</t>
    </r>
    <r>
      <rPr>
        <vertAlign val="subscript"/>
        <sz val="12"/>
        <color rgb="FF000000"/>
        <rFont val="Microsoft JhengHei Light"/>
        <family val="2"/>
        <charset val="2"/>
      </rPr>
      <t>3</t>
    </r>
    <r>
      <rPr>
        <sz val="12"/>
        <color rgb="FF000000"/>
        <rFont val="Microsoft JhengHei Light"/>
        <family val="2"/>
      </rPr>
      <t xml:space="preserve"> 的CaO 0.65 公噸。此碳酸鹽重量中56.03% 是CaO，43.97% 是CO</t>
    </r>
    <r>
      <rPr>
        <vertAlign val="subscript"/>
        <sz val="12"/>
        <color rgb="FF000000"/>
        <rFont val="Microsoft JhengHei Light"/>
        <family val="2"/>
        <charset val="2"/>
      </rPr>
      <t>2</t>
    </r>
    <r>
      <rPr>
        <sz val="12"/>
        <color rgb="FF000000"/>
        <rFont val="Microsoft JhengHei Light"/>
        <family val="2"/>
      </rPr>
      <t>。生產0.65公噸CaO 需要的CaCO</t>
    </r>
    <r>
      <rPr>
        <vertAlign val="subscript"/>
        <sz val="12"/>
        <color rgb="FF000000"/>
        <rFont val="Microsoft JhengHei Light"/>
        <family val="2"/>
        <charset val="2"/>
      </rPr>
      <t>3</t>
    </r>
    <r>
      <rPr>
        <sz val="12"/>
        <color rgb="FF000000"/>
        <rFont val="Microsoft JhengHei Light"/>
        <family val="2"/>
      </rPr>
      <t>量（X）為：X = 0.65/ 0.5603 = 1.1601公噸CaCO</t>
    </r>
    <r>
      <rPr>
        <vertAlign val="subscript"/>
        <sz val="12"/>
        <color rgb="FF000000"/>
        <rFont val="Microsoft JhengHei Light"/>
        <family val="2"/>
        <charset val="2"/>
      </rPr>
      <t>3</t>
    </r>
    <r>
      <rPr>
        <sz val="12"/>
        <color rgb="FF000000"/>
        <rFont val="Microsoft JhengHei Light"/>
        <family val="2"/>
      </rPr>
      <t>。藉由鍛燒此CaCO</t>
    </r>
    <r>
      <rPr>
        <vertAlign val="subscript"/>
        <sz val="12"/>
        <color rgb="FF000000"/>
        <rFont val="Microsoft JhengHei Light"/>
        <family val="2"/>
        <charset val="2"/>
      </rPr>
      <t>3</t>
    </r>
    <r>
      <rPr>
        <sz val="12"/>
        <color rgb="FF000000"/>
        <rFont val="Microsoft JhengHei Light"/>
        <family val="2"/>
      </rPr>
      <t>釋放的CO</t>
    </r>
    <r>
      <rPr>
        <vertAlign val="subscript"/>
        <sz val="12"/>
        <color rgb="FF000000"/>
        <rFont val="Microsoft JhengHei Light"/>
        <family val="2"/>
        <charset val="2"/>
      </rPr>
      <t>2</t>
    </r>
    <r>
      <rPr>
        <sz val="12"/>
        <color rgb="FF000000"/>
        <rFont val="Microsoft JhengHei Light"/>
        <family val="2"/>
      </rPr>
      <t>量= 1.1601 × 0.4397 = 0.5101 公噸CO</t>
    </r>
    <r>
      <rPr>
        <vertAlign val="subscript"/>
        <sz val="12"/>
        <color rgb="FF000000"/>
        <rFont val="Microsoft JhengHei Light"/>
        <family val="2"/>
        <charset val="2"/>
      </rPr>
      <t>2</t>
    </r>
    <r>
      <rPr>
        <sz val="12"/>
        <color rgb="FF000000"/>
        <rFont val="Microsoft JhengHei Light"/>
        <family val="2"/>
      </rPr>
      <t>。另假設水泥窯塵排放修正因子CKD (cement kiln dust)為2% 。</t>
    </r>
  </si>
  <si>
    <t>註2：資料來源為2006 IPCC Guidelines for National Greenhouse Gas Inventories, Volume 3 Industrial Processes and Product Use, chapter 2: Mineral Industry Emissions, equation 2.4。</t>
  </si>
  <si>
    <t>（三） 石灰產品</t>
  </si>
  <si>
    <r>
      <t>CO</t>
    </r>
    <r>
      <rPr>
        <vertAlign val="subscript"/>
        <sz val="12"/>
        <color rgb="FF000000"/>
        <rFont val="Microsoft JhengHei Light"/>
        <family val="2"/>
        <charset val="2"/>
      </rPr>
      <t>2</t>
    </r>
    <r>
      <rPr>
        <sz val="12"/>
        <color rgb="FF000000"/>
        <rFont val="Microsoft JhengHei Light"/>
        <family val="2"/>
      </rPr>
      <t>（公噸/公噸石灰）</t>
    </r>
  </si>
  <si>
    <t>石灰（Lime Produced）</t>
  </si>
  <si>
    <r>
      <t>0.75</t>
    </r>
    <r>
      <rPr>
        <vertAlign val="superscript"/>
        <sz val="12"/>
        <color rgb="FF000000"/>
        <rFont val="Microsoft JhengHei Light"/>
        <family val="2"/>
        <charset val="2"/>
      </rPr>
      <t>註1</t>
    </r>
  </si>
  <si>
    <t>註1：該排放係數是假設85%高鈣石灰與15%白雲石石灰組成，其係數＝0.85 × 高鈣石灰排放係數 + 0.15 × 白雲石石灰排放係數＝0.85 × 0.75 + 0.15 × 0.77＝0.75，其中，白雲石石灰排放係數是依石灰生產技術而異。</t>
  </si>
  <si>
    <t>註2：資料來源為2006 IPCC Guidelines for National Greenhouse Gas Inventories, Volume 3 Industrial Processes and Product Use, chapter 2: Mineral Industry Emissions, equation 2.8。</t>
  </si>
  <si>
    <t>石灰類型
(Lime Type)</t>
  </si>
  <si>
    <r>
      <t>化學計量比率（%）</t>
    </r>
    <r>
      <rPr>
        <vertAlign val="superscript"/>
        <sz val="12"/>
        <color rgb="FF000000"/>
        <rFont val="Microsoft JhengHei Light"/>
        <family val="2"/>
        <charset val="2"/>
      </rPr>
      <t>註1</t>
    </r>
    <r>
      <rPr>
        <vertAlign val="superscript"/>
        <sz val="12"/>
        <color rgb="FF000000"/>
        <rFont val="Microsoft JhengHei Light"/>
        <family val="2"/>
        <charset val="2"/>
      </rPr>
      <t xml:space="preserve">
</t>
    </r>
    <r>
      <rPr>
        <sz val="12"/>
        <color rgb="FF000000"/>
        <rFont val="Microsoft JhengHei Light"/>
        <family val="2"/>
      </rPr>
      <t>(Stoichiometric Ratio)</t>
    </r>
  </si>
  <si>
    <t>CaO含量範圍（%）
(Range of CaO Content)</t>
  </si>
  <si>
    <t>MgO含量範圍（%）
(Range of MgO Content)</t>
  </si>
  <si>
    <t>CaO或Cao-MgO的預設含量</t>
  </si>
  <si>
    <r>
      <t>CO</t>
    </r>
    <r>
      <rPr>
        <vertAlign val="subscript"/>
        <sz val="12"/>
        <color rgb="FF000000"/>
        <rFont val="Microsoft JhengHei Light"/>
        <family val="2"/>
        <charset val="2"/>
      </rPr>
      <t>2</t>
    </r>
    <r>
      <rPr>
        <vertAlign val="subscript"/>
        <sz val="12"/>
        <color rgb="FF000000"/>
        <rFont val="Microsoft JhengHei Light"/>
        <family val="2"/>
        <charset val="2"/>
      </rPr>
      <t xml:space="preserve">
</t>
    </r>
    <r>
      <rPr>
        <sz val="12"/>
        <color rgb="FF000000"/>
        <rFont val="Microsoft JhengHei Light"/>
        <family val="2"/>
      </rPr>
      <t>（公噸/公噸石灰）</t>
    </r>
  </si>
  <si>
    <t>高鈣石灰
(High-calcium lime)</t>
  </si>
  <si>
    <t>93-98</t>
  </si>
  <si>
    <t>0.3-2.5</t>
  </si>
  <si>
    <t>白雲石石灰
(Dolomitic lime)</t>
  </si>
  <si>
    <t>55-57</t>
  </si>
  <si>
    <t>38-41</t>
  </si>
  <si>
    <t>0.95或0.85註2</t>
  </si>
  <si>
    <r>
      <t>0.86或
0.77</t>
    </r>
    <r>
      <rPr>
        <vertAlign val="superscript"/>
        <sz val="12"/>
        <color rgb="FF000000"/>
        <rFont val="Microsoft JhengHei Light"/>
        <family val="2"/>
        <charset val="2"/>
      </rPr>
      <t>註2</t>
    </r>
  </si>
  <si>
    <t>水硬性石灰
(Hydraulic lime)</t>
  </si>
  <si>
    <t>65-92</t>
  </si>
  <si>
    <r>
      <t>註1：化學計量比率為每噸CaO 或CaO·MgO的CO</t>
    </r>
    <r>
      <rPr>
        <vertAlign val="subscript"/>
        <sz val="12"/>
        <color rgb="FF000000"/>
        <rFont val="Microsoft JhengHei Light"/>
        <family val="2"/>
        <charset val="2"/>
      </rPr>
      <t>2</t>
    </r>
    <r>
      <rPr>
        <sz val="12"/>
        <color rgb="FF000000"/>
        <rFont val="Microsoft JhengHei Light"/>
        <family val="2"/>
      </rPr>
      <t xml:space="preserve"> 比率。</t>
    </r>
  </si>
  <si>
    <t>註2：此值取決於石灰生產所用的技術，於已開發國家採高值，發展中國家採低值。</t>
  </si>
  <si>
    <t>註3：資料來源為2006 IPCC Guidelines for National Greenhouse Gas Inventories, Volume 3 Industrial Processes and Product Use, chapter 2: Mineral Industry Emissions, table 2.4。</t>
  </si>
  <si>
    <t>（四） 玻璃產品</t>
  </si>
  <si>
    <r>
      <t>CO</t>
    </r>
    <r>
      <rPr>
        <vertAlign val="subscript"/>
        <sz val="12"/>
        <color rgb="FF000000"/>
        <rFont val="Microsoft JhengHei Light"/>
        <family val="2"/>
        <charset val="2"/>
      </rPr>
      <t>2</t>
    </r>
    <r>
      <rPr>
        <sz val="12"/>
        <color rgb="FF000000"/>
        <rFont val="Microsoft JhengHei Light"/>
        <family val="2"/>
      </rPr>
      <t>（公噸/公噸玻璃）</t>
    </r>
  </si>
  <si>
    <t>玻璃（Glass）</t>
  </si>
  <si>
    <r>
      <t>0.20</t>
    </r>
    <r>
      <rPr>
        <vertAlign val="superscript"/>
        <sz val="12"/>
        <color rgb="FF000000"/>
        <rFont val="Microsoft JhengHei Light"/>
        <family val="2"/>
        <charset val="2"/>
      </rPr>
      <t>註</t>
    </r>
  </si>
  <si>
    <r>
      <t>註1：此係數之原料重量組成為砂 （56.2%）、長石 （5.3%）、白雲石 （9.8%）、石灰石 （8.6%）和純鹼 （20.0%）。依此成分的一公噸原料約可產生0.84噸的玻璃，重量損失中約16.7%的揮發性物質，於此完全視為CO</t>
    </r>
    <r>
      <rPr>
        <vertAlign val="subscript"/>
        <sz val="12"/>
        <color rgb="FF000000"/>
        <rFont val="Microsoft JhengHei Light"/>
        <family val="2"/>
        <charset val="2"/>
      </rPr>
      <t>2</t>
    </r>
    <r>
      <rPr>
        <sz val="12"/>
        <color rgb="FF000000"/>
        <rFont val="Microsoft JhengHei Light"/>
        <family val="2"/>
      </rPr>
      <t>排放。</t>
    </r>
  </si>
  <si>
    <r>
      <t>註2：玻璃生產之CO</t>
    </r>
    <r>
      <rPr>
        <vertAlign val="subscript"/>
        <sz val="12"/>
        <color rgb="FF000000"/>
        <rFont val="Microsoft JhengHei Light"/>
        <family val="2"/>
        <charset val="2"/>
      </rPr>
      <t>2</t>
    </r>
    <r>
      <rPr>
        <sz val="12"/>
        <color rgb="FF000000"/>
        <rFont val="Microsoft JhengHei Light"/>
        <family val="2"/>
      </rPr>
      <t xml:space="preserve"> 排放量（公噸）＝ 玻璃產品重量（公噸）× CO</t>
    </r>
    <r>
      <rPr>
        <vertAlign val="subscript"/>
        <sz val="12"/>
        <color rgb="FF000000"/>
        <rFont val="Microsoft JhengHei Light"/>
        <family val="2"/>
        <charset val="2"/>
      </rPr>
      <t>2</t>
    </r>
    <r>
      <rPr>
        <sz val="12"/>
        <color rgb="FF000000"/>
        <rFont val="Microsoft JhengHei Light"/>
        <family val="2"/>
      </rPr>
      <t>排放係數（公噸CO</t>
    </r>
    <r>
      <rPr>
        <vertAlign val="subscript"/>
        <sz val="12"/>
        <color rgb="FF000000"/>
        <rFont val="Microsoft JhengHei Light"/>
        <family val="2"/>
        <charset val="2"/>
      </rPr>
      <t>2</t>
    </r>
    <r>
      <rPr>
        <sz val="12"/>
        <color rgb="FF000000"/>
        <rFont val="Microsoft JhengHei Light"/>
        <family val="2"/>
      </rPr>
      <t>/公噸玻璃) × （1 - 原料中碎玻璃占比（%））。</t>
    </r>
  </si>
  <si>
    <t>註3：資料來源為2006 IPCC Guidelines for National Greenhouse Gas Inventories, Volume 3 Industrial Processes and Product Use, chapter 2: Mineral Industry Emissions, equation 2.13。</t>
  </si>
  <si>
    <t>依玻璃種類區分其二氧化碳排放係數，排放係數如下。</t>
  </si>
  <si>
    <t>玻璃種類（Glass Type）</t>
  </si>
  <si>
    <r>
      <t>CO</t>
    </r>
    <r>
      <rPr>
        <vertAlign val="subscript"/>
        <sz val="12"/>
        <color rgb="FF000000"/>
        <rFont val="Microsoft JhengHei Light"/>
        <family val="2"/>
        <charset val="2"/>
      </rPr>
      <t>2</t>
    </r>
    <r>
      <rPr>
        <sz val="12"/>
        <color rgb="FF000000"/>
        <rFont val="Microsoft JhengHei Light"/>
        <family val="2"/>
      </rPr>
      <t>排放係數
（公噸/公噸玻璃）</t>
    </r>
  </si>
  <si>
    <r>
      <t>碎玻璃比率</t>
    </r>
    <r>
      <rPr>
        <vertAlign val="superscript"/>
        <sz val="12"/>
        <color rgb="FF000000"/>
        <rFont val="Microsoft JhengHei Light"/>
        <family val="2"/>
        <charset val="2"/>
      </rPr>
      <t>註</t>
    </r>
    <r>
      <rPr>
        <vertAlign val="superscript"/>
        <sz val="12"/>
        <color rgb="FF000000"/>
        <rFont val="Microsoft JhengHei Light"/>
        <family val="2"/>
        <charset val="2"/>
      </rPr>
      <t xml:space="preserve">
</t>
    </r>
    <r>
      <rPr>
        <sz val="12"/>
        <color rgb="FF000000"/>
        <rFont val="Microsoft JhengHei Light"/>
        <family val="2"/>
      </rPr>
      <t>（Cullet Ratio）</t>
    </r>
  </si>
  <si>
    <t>浮式玻璃
(Float)</t>
  </si>
  <si>
    <t>10% - 25%</t>
  </si>
  <si>
    <t>容器 （無色玻璃）
(Container (Flint))</t>
  </si>
  <si>
    <t>30% - 60%</t>
  </si>
  <si>
    <t>容器（琥珀/綠色）
(Container (Amber/Green))</t>
  </si>
  <si>
    <t>30% - 80%</t>
  </si>
  <si>
    <t>玻璃纖維（電子級）
(Fiberglass (E-glass))</t>
  </si>
  <si>
    <t>0% - 15%</t>
  </si>
  <si>
    <t>玻璃纖維（絕緣）
(Fiberglass (Insulation))</t>
  </si>
  <si>
    <t>10% - 50%</t>
  </si>
  <si>
    <t>特殊（TV面版）
(Specialty (TV Panel))</t>
  </si>
  <si>
    <t>20% - 75%</t>
  </si>
  <si>
    <t>特殊（TV映像管）
(Specialty (TV Funnel))</t>
  </si>
  <si>
    <t>20% - 70%</t>
  </si>
  <si>
    <t>特殊（餐具）
(Specialty (Tableware))</t>
  </si>
  <si>
    <t>20% - 60%</t>
  </si>
  <si>
    <t>特殊（實驗室/醫藥）
(Specialty (Lab/Pharma))</t>
  </si>
  <si>
    <t>30% - 75%</t>
  </si>
  <si>
    <t>特殊（照明）
(Specialty (Lighting))</t>
  </si>
  <si>
    <t>40% - 70%</t>
  </si>
  <si>
    <t>註1：碎玻璃比率除非有更具代表性的數值，建議採碎玻璃比率的中間值。</t>
  </si>
  <si>
    <t>註2：資料來源為2006 IPCC Guidelines for National Greenhouse Gas Inventories, Volume 3 Industrial Processes and Product Use, chapter 2: Mineral Industry Emissions, table 2.6。</t>
  </si>
  <si>
    <t>（一）氨氣生產</t>
  </si>
  <si>
    <t>製程</t>
  </si>
  <si>
    <t>總燃料需求
(Total fuel requirement)</t>
  </si>
  <si>
    <t>碳含量因子
(Carbon content factor)</t>
  </si>
  <si>
    <t>碳氧化因子
(Carbon oxidation factor)</t>
  </si>
  <si>
    <r>
      <t>CO</t>
    </r>
    <r>
      <rPr>
        <vertAlign val="subscript"/>
        <sz val="12"/>
        <color rgb="FF000000"/>
        <rFont val="微軟正黑體"/>
        <family val="2"/>
        <charset val="136"/>
      </rPr>
      <t>2</t>
    </r>
    <r>
      <rPr>
        <vertAlign val="subscript"/>
        <sz val="12"/>
        <color rgb="FF000000"/>
        <rFont val="微軟正黑體"/>
        <family val="2"/>
        <charset val="136"/>
      </rPr>
      <t xml:space="preserve">
</t>
    </r>
    <r>
      <rPr>
        <sz val="12"/>
        <color rgb="FF000000"/>
        <rFont val="微軟正黑體"/>
        <family val="2"/>
        <charset val="136"/>
      </rPr>
      <t>（公噸/公噸氨氣）</t>
    </r>
  </si>
  <si>
    <t>現代工廠-歐洲（Modern plants – Europe）</t>
  </si>
  <si>
    <t>常規重組-天然氣
(Conventional reforming – natural gas)</t>
  </si>
  <si>
    <t>過量空氣重組-天然氣
(Excess air reforming – natural gas)</t>
  </si>
  <si>
    <t>自發性熱重組-天然氣
(Autothermal reforming – natural gas)</t>
  </si>
  <si>
    <t>部分氧化
(Partial oxidation)</t>
  </si>
  <si>
    <t>從特定能源消耗量（現代和傳統工廠混合）的歐洲平均值得出
Derived from European average values for specific energy consumption (Mix of modern and older plants)</t>
  </si>
  <si>
    <t>平均值-天然氣
(Average value – natural gas)</t>
  </si>
  <si>
    <t>平均值-部分氧化
(Average value – partial oxidation)</t>
  </si>
  <si>
    <t>註：資料來源為2006 IPCC Guidelines for National Greenhouse Gas Inventories, Volume 3 Industrial Processes and Product Use, chapter 3:Chemical Industry Emissions, table 3.1。</t>
  </si>
  <si>
    <t>（二） 硝酸生產</t>
  </si>
  <si>
    <t>類型</t>
  </si>
  <si>
    <t>操作狀態</t>
  </si>
  <si>
    <t>壓力 （Bar）
(Applied Pressure)</t>
  </si>
  <si>
    <t>（Operation Condition）</t>
  </si>
  <si>
    <t>氧化（Oxidation）</t>
  </si>
  <si>
    <t>吸收（Absorption）</t>
  </si>
  <si>
    <t>低壓/低壓(L/L)</t>
  </si>
  <si>
    <t>單壓工廠-低壓
(Single Low Pressure)</t>
  </si>
  <si>
    <t>0 - 1.7</t>
  </si>
  <si>
    <t>低壓/中壓(L/M)</t>
  </si>
  <si>
    <t>雙壓工廠- 中低壓
(Dual Low/Medium Pressure)</t>
  </si>
  <si>
    <t>&lt;1.7</t>
  </si>
  <si>
    <t>1.7 – 6.5</t>
  </si>
  <si>
    <t>中壓/中壓(M/M)</t>
  </si>
  <si>
    <t>單壓工廠- 中壓
(Single Medium Pressure)</t>
  </si>
  <si>
    <t>1.7 - 6.5</t>
  </si>
  <si>
    <t>中壓/高壓(M/H)</t>
  </si>
  <si>
    <t>雙壓工廠- 中高壓
(Dual Medium/High Pressure)</t>
  </si>
  <si>
    <t>6.5 - 13</t>
  </si>
  <si>
    <t>高壓/高壓(H/H)</t>
  </si>
  <si>
    <t>單壓工廠- 高壓
(Single High Pressure)</t>
  </si>
  <si>
    <t>註：資料來源為2019 IPCC Guidelines for National Greenhouse Gas Inventories, Volume 3 Industrial Processes and Product Use, chapter 3:Chemical Industry Emissions, table 3.3A。</t>
  </si>
  <si>
    <t>依不同加壓方式及程度其排放係數如下。</t>
  </si>
  <si>
    <r>
      <t>N</t>
    </r>
    <r>
      <rPr>
        <vertAlign val="subscript"/>
        <sz val="12"/>
        <color rgb="FF000000"/>
        <rFont val="微軟正黑體"/>
        <family val="2"/>
        <charset val="136"/>
      </rPr>
      <t>2</t>
    </r>
    <r>
      <rPr>
        <sz val="12"/>
        <color rgb="FF000000"/>
        <rFont val="微軟正黑體"/>
        <family val="2"/>
        <charset val="136"/>
      </rPr>
      <t>O排放係數
（公斤/公噸硝酸）</t>
    </r>
  </si>
  <si>
    <t>1975前的工廠（所有製程）
Old (pre-1975) plants (all processes)</t>
  </si>
  <si>
    <t>10-19</t>
  </si>
  <si>
    <t>單壓工廠- 低壓
Single low pressure plants</t>
  </si>
  <si>
    <t>單壓工廠- 中壓
Single medium pressure plants</t>
  </si>
  <si>
    <t>單壓工廠- 高壓
Single high pressure plants</t>
  </si>
  <si>
    <t>具有減排技術的單壓工廠
Single pressure plants with abatement technology</t>
  </si>
  <si>
    <t>雙壓工廠- 中高壓
Dual Pressure (M/H)</t>
  </si>
  <si>
    <t>具有減排技術的雙壓工廠- 中高壓
Dual Pressure (M/H) with abatement technology</t>
  </si>
  <si>
    <t>雙壓工廠- 中低壓
Dual Pressure (L/M)</t>
  </si>
  <si>
    <t>具有減排技術的雙壓工廠- 中低壓
Dual Pressure (L/M) with abatement technology</t>
  </si>
  <si>
    <t>註：資料來源為2019 IPCC Guidelines for National Greenhouse Gas Inventories, Volume 3 Industrial Processes and Product Use, chapter 3:Chemical Industry Emissions, table 3.3。</t>
  </si>
  <si>
    <t>（三）己二酸生產</t>
  </si>
  <si>
    <r>
      <t>氧化亞氮（N</t>
    </r>
    <r>
      <rPr>
        <vertAlign val="subscript"/>
        <sz val="12"/>
        <color rgb="FF000000"/>
        <rFont val="微軟正黑體"/>
        <family val="2"/>
        <charset val="136"/>
      </rPr>
      <t>2</t>
    </r>
    <r>
      <rPr>
        <sz val="12"/>
        <color rgb="FF000000"/>
        <rFont val="微軟正黑體"/>
        <family val="2"/>
        <charset val="136"/>
      </rPr>
      <t>O）排放係數＝ 300 公斤/公噸己二酸（未控制），依減量技術去除率及技術使用率如下：</t>
    </r>
  </si>
  <si>
    <t>減量技術
（Abatement Technology）</t>
  </si>
  <si>
    <r>
      <t>N</t>
    </r>
    <r>
      <rPr>
        <vertAlign val="subscript"/>
        <sz val="12"/>
        <color rgb="FF000000"/>
        <rFont val="微軟正黑體"/>
        <family val="2"/>
        <charset val="136"/>
      </rPr>
      <t>2</t>
    </r>
    <r>
      <rPr>
        <sz val="12"/>
        <color rgb="FF000000"/>
        <rFont val="微軟正黑體"/>
        <family val="2"/>
        <charset val="136"/>
      </rPr>
      <t>O去除率
（N</t>
    </r>
    <r>
      <rPr>
        <vertAlign val="subscript"/>
        <sz val="12"/>
        <color rgb="FF000000"/>
        <rFont val="微軟正黑體"/>
        <family val="2"/>
        <charset val="136"/>
      </rPr>
      <t>2</t>
    </r>
    <r>
      <rPr>
        <sz val="12"/>
        <color rgb="FF000000"/>
        <rFont val="微軟正黑體"/>
        <family val="2"/>
        <charset val="136"/>
      </rPr>
      <t>O Destruction Factor）</t>
    </r>
  </si>
  <si>
    <t>技術使用率
（Utilisation Factor）</t>
  </si>
  <si>
    <t>催化/觸媒處理
(Catalytic Destruction)</t>
  </si>
  <si>
    <t>熱處理
(Thermal Destruction)</t>
  </si>
  <si>
    <t>回收硝酸
(Recycle to Nitric Acid)</t>
  </si>
  <si>
    <t>回收己二酸
(Recycle to feedstock for Adipic Acid)</t>
  </si>
  <si>
    <r>
      <t>註1：N</t>
    </r>
    <r>
      <rPr>
        <vertAlign val="subscript"/>
        <sz val="12"/>
        <color rgb="FF000000"/>
        <rFont val="微軟正黑體"/>
        <family val="2"/>
        <charset val="136"/>
      </rPr>
      <t>2</t>
    </r>
    <r>
      <rPr>
        <sz val="12"/>
        <color rgb="FF000000"/>
        <rFont val="微軟正黑體"/>
        <family val="2"/>
        <charset val="136"/>
      </rPr>
      <t>O 排放量（公斤）= 己二酸產量（公噸）× 300（公斤/公噸）×（1-N</t>
    </r>
    <r>
      <rPr>
        <vertAlign val="subscript"/>
        <sz val="12"/>
        <color rgb="FF000000"/>
        <rFont val="微軟正黑體"/>
        <family val="2"/>
        <charset val="136"/>
      </rPr>
      <t>2</t>
    </r>
    <r>
      <rPr>
        <sz val="12"/>
        <color rgb="FF000000"/>
        <rFont val="微軟正黑體"/>
        <family val="2"/>
        <charset val="136"/>
      </rPr>
      <t>O去除率 × 技術使用率）</t>
    </r>
  </si>
  <si>
    <t>註2：資料來源為2006 IPCC Guidelines for National Greenhouse Gas Inventories, Volume 3 Industrial Processes and Product Use, chapter 3:Chemical Industry Emissions, table 3.4、equation 3.8。</t>
  </si>
  <si>
    <t>（四）己內醯胺、乙二醛、乙醛酸生產</t>
  </si>
  <si>
    <r>
      <t>氧化亞氮（N</t>
    </r>
    <r>
      <rPr>
        <vertAlign val="subscript"/>
        <sz val="12"/>
        <color rgb="FF000000"/>
        <rFont val="微軟正黑體"/>
        <family val="2"/>
        <charset val="136"/>
      </rPr>
      <t>2</t>
    </r>
    <r>
      <rPr>
        <sz val="12"/>
        <color rgb="FF000000"/>
        <rFont val="微軟正黑體"/>
        <family val="2"/>
        <charset val="136"/>
      </rPr>
      <t>O）排放係數＝ 9公斤/公噸己內醯胺</t>
    </r>
    <r>
      <rPr>
        <vertAlign val="superscript"/>
        <sz val="12"/>
        <color rgb="FF000000"/>
        <rFont val="微軟正黑體"/>
        <family val="2"/>
        <charset val="136"/>
      </rPr>
      <t>註</t>
    </r>
  </si>
  <si>
    <r>
      <t>註：此係數為未控制值，可使用量測之N</t>
    </r>
    <r>
      <rPr>
        <vertAlign val="subscript"/>
        <sz val="12"/>
        <color rgb="FF000000"/>
        <rFont val="微軟正黑體"/>
        <family val="2"/>
        <charset val="136"/>
      </rPr>
      <t>2</t>
    </r>
    <r>
      <rPr>
        <sz val="12"/>
        <color rgb="FF000000"/>
        <rFont val="微軟正黑體"/>
        <family val="2"/>
        <charset val="136"/>
      </rPr>
      <t>O排放量及去除率</t>
    </r>
  </si>
  <si>
    <r>
      <t>N</t>
    </r>
    <r>
      <rPr>
        <vertAlign val="subscript"/>
        <sz val="12"/>
        <color rgb="FF000000"/>
        <rFont val="微軟正黑體"/>
        <family val="2"/>
        <charset val="136"/>
      </rPr>
      <t>2</t>
    </r>
    <r>
      <rPr>
        <sz val="12"/>
        <color rgb="FF000000"/>
        <rFont val="微軟正黑體"/>
        <family val="2"/>
        <charset val="136"/>
      </rPr>
      <t>O排放係數
（公噸/公噸乙二醛或乙醛酸）</t>
    </r>
  </si>
  <si>
    <r>
      <t>N</t>
    </r>
    <r>
      <rPr>
        <vertAlign val="subscript"/>
        <sz val="12"/>
        <color rgb="FF000000"/>
        <rFont val="微軟正黑體"/>
        <family val="2"/>
        <charset val="136"/>
      </rPr>
      <t>2</t>
    </r>
    <r>
      <rPr>
        <sz val="12"/>
        <color rgb="FF000000"/>
        <rFont val="微軟正黑體"/>
        <family val="2"/>
        <charset val="136"/>
      </rPr>
      <t>O去除率
（N</t>
    </r>
    <r>
      <rPr>
        <vertAlign val="subscript"/>
        <sz val="12"/>
        <color rgb="FF000000"/>
        <rFont val="微軟正黑體"/>
        <family val="2"/>
        <charset val="136"/>
      </rPr>
      <t>2</t>
    </r>
    <r>
      <rPr>
        <sz val="12"/>
        <color rgb="FF000000"/>
        <rFont val="微軟正黑體"/>
        <family val="2"/>
        <charset val="136"/>
      </rPr>
      <t>O Destruction Rate）</t>
    </r>
  </si>
  <si>
    <t>乙二醛
(Glyoxal)</t>
  </si>
  <si>
    <t>乙醛酸
(Glyoxylic acid)</t>
  </si>
  <si>
    <r>
      <t>註1：N</t>
    </r>
    <r>
      <rPr>
        <vertAlign val="subscript"/>
        <sz val="12"/>
        <color rgb="FF000000"/>
        <rFont val="微軟正黑體"/>
        <family val="2"/>
        <charset val="136"/>
      </rPr>
      <t>2</t>
    </r>
    <r>
      <rPr>
        <sz val="12"/>
        <color rgb="FF000000"/>
        <rFont val="微軟正黑體"/>
        <family val="2"/>
        <charset val="136"/>
      </rPr>
      <t>O 排放量（公噸）= 乙二醛或乙醛酸產量（公噸） × N</t>
    </r>
    <r>
      <rPr>
        <vertAlign val="subscript"/>
        <sz val="12"/>
        <color rgb="FF000000"/>
        <rFont val="微軟正黑體"/>
        <family val="2"/>
        <charset val="136"/>
      </rPr>
      <t>2</t>
    </r>
    <r>
      <rPr>
        <sz val="12"/>
        <color rgb="FF000000"/>
        <rFont val="微軟正黑體"/>
        <family val="2"/>
        <charset val="136"/>
      </rPr>
      <t>O 排放係數（公噸N</t>
    </r>
    <r>
      <rPr>
        <vertAlign val="subscript"/>
        <sz val="12"/>
        <color rgb="FF000000"/>
        <rFont val="微軟正黑體"/>
        <family val="2"/>
        <charset val="136"/>
      </rPr>
      <t>2</t>
    </r>
    <r>
      <rPr>
        <sz val="12"/>
        <color rgb="FF000000"/>
        <rFont val="微軟正黑體"/>
        <family val="2"/>
        <charset val="136"/>
      </rPr>
      <t>O/公噸） × （1-N</t>
    </r>
    <r>
      <rPr>
        <vertAlign val="subscript"/>
        <sz val="12"/>
        <color rgb="FF000000"/>
        <rFont val="微軟正黑體"/>
        <family val="2"/>
        <charset val="136"/>
      </rPr>
      <t>2</t>
    </r>
    <r>
      <rPr>
        <sz val="12"/>
        <color rgb="FF000000"/>
        <rFont val="微軟正黑體"/>
        <family val="2"/>
        <charset val="136"/>
      </rPr>
      <t>O去除率），若採用N</t>
    </r>
    <r>
      <rPr>
        <vertAlign val="subscript"/>
        <sz val="12"/>
        <color rgb="FF000000"/>
        <rFont val="微軟正黑體"/>
        <family val="2"/>
        <charset val="136"/>
      </rPr>
      <t>2</t>
    </r>
    <r>
      <rPr>
        <sz val="12"/>
        <color rgb="FF000000"/>
        <rFont val="微軟正黑體"/>
        <family val="2"/>
        <charset val="136"/>
      </rPr>
      <t>O去除率時，應確認工廠有安裝減量技術且有操作。</t>
    </r>
  </si>
  <si>
    <t>註2：資料來源為2006 IPCC Guidelines for National Greenhouse Gas Inventories, Volume 3 Industrial Processes and Product Use, chapter 3:Chemical Industry Emissions, table 3.5、3.6。</t>
  </si>
  <si>
    <t>（五）電石生產</t>
  </si>
  <si>
    <t>1.碳化矽製程</t>
  </si>
  <si>
    <r>
      <t>CO</t>
    </r>
    <r>
      <rPr>
        <vertAlign val="subscript"/>
        <sz val="12"/>
        <color rgb="FF000000"/>
        <rFont val="微軟正黑體"/>
        <family val="2"/>
        <charset val="136"/>
      </rPr>
      <t>2</t>
    </r>
    <r>
      <rPr>
        <sz val="12"/>
        <color rgb="FF000000"/>
        <rFont val="微軟正黑體"/>
        <family val="2"/>
        <charset val="136"/>
      </rPr>
      <t>排放係數
（公噸/公噸石油焦）</t>
    </r>
  </si>
  <si>
    <r>
      <t>CH</t>
    </r>
    <r>
      <rPr>
        <vertAlign val="subscript"/>
        <sz val="12"/>
        <color rgb="FF000000"/>
        <rFont val="微軟正黑體"/>
        <family val="2"/>
        <charset val="136"/>
      </rPr>
      <t>4</t>
    </r>
    <r>
      <rPr>
        <sz val="12"/>
        <color rgb="FF000000"/>
        <rFont val="微軟正黑體"/>
        <family val="2"/>
        <charset val="136"/>
      </rPr>
      <t>排放係數
（公斤/公噸石油焦）</t>
    </r>
  </si>
  <si>
    <r>
      <t>CO</t>
    </r>
    <r>
      <rPr>
        <vertAlign val="subscript"/>
        <sz val="12"/>
        <color rgb="FF000000"/>
        <rFont val="微軟正黑體"/>
        <family val="2"/>
        <charset val="136"/>
      </rPr>
      <t>2</t>
    </r>
    <r>
      <rPr>
        <sz val="12"/>
        <color rgb="FF000000"/>
        <rFont val="微軟正黑體"/>
        <family val="2"/>
        <charset val="136"/>
      </rPr>
      <t>排放係數
（公噸/公噸電石）</t>
    </r>
  </si>
  <si>
    <r>
      <t>CH</t>
    </r>
    <r>
      <rPr>
        <vertAlign val="subscript"/>
        <sz val="12"/>
        <color rgb="FF000000"/>
        <rFont val="微軟正黑體"/>
        <family val="2"/>
        <charset val="136"/>
      </rPr>
      <t>4</t>
    </r>
    <r>
      <rPr>
        <sz val="12"/>
        <color rgb="FF000000"/>
        <rFont val="微軟正黑體"/>
        <family val="2"/>
        <charset val="136"/>
      </rPr>
      <t>排放係數
（公斤/公噸電石）</t>
    </r>
  </si>
  <si>
    <t>碳化矽
(Silicon carbide Production)</t>
  </si>
  <si>
    <t>註：資料來源為2006 IPCC Guidelines for National Greenhouse Gas Inventories, Volume 3 Industrial Processes and Product Use, chapter 3:Chemical Industry Emissions, table 3.7。</t>
  </si>
  <si>
    <t>2.碳化鈣製程</t>
  </si>
  <si>
    <r>
      <t>CH</t>
    </r>
    <r>
      <rPr>
        <vertAlign val="subscript"/>
        <sz val="12"/>
        <color rgb="FF000000"/>
        <rFont val="微軟正黑體"/>
        <family val="2"/>
        <charset val="136"/>
      </rPr>
      <t>4</t>
    </r>
    <r>
      <rPr>
        <sz val="12"/>
        <color rgb="FF000000"/>
        <rFont val="微軟正黑體"/>
        <family val="2"/>
        <charset val="136"/>
      </rPr>
      <t>排放係數
（公噸/公噸石油焦）</t>
    </r>
  </si>
  <si>
    <t>原（物）料-石油焦
(Petroleum coke use)</t>
  </si>
  <si>
    <t>產品-碳化鈣
(Use of product)</t>
  </si>
  <si>
    <t>無</t>
  </si>
  <si>
    <t>註：資料來源為2006 IPCC Guidelines for National Greenhouse Gas Inventories,  Volume 3 Industrial Processes and Product Use, chapter 3:Chemical Industry Emissions, table 3.8。</t>
  </si>
  <si>
    <t>（六）二氧化鈦生產</t>
  </si>
  <si>
    <r>
      <t>CO</t>
    </r>
    <r>
      <rPr>
        <vertAlign val="subscript"/>
        <sz val="12"/>
        <color rgb="FF000000"/>
        <rFont val="微軟正黑體"/>
        <family val="2"/>
        <charset val="136"/>
      </rPr>
      <t>2</t>
    </r>
    <r>
      <rPr>
        <sz val="12"/>
        <color rgb="FF000000"/>
        <rFont val="微軟正黑體"/>
        <family val="2"/>
        <charset val="136"/>
      </rPr>
      <t>排放係數
（公噸/公噸產品）</t>
    </r>
  </si>
  <si>
    <t>合成金紅石(&gt;90 % 二氧化鈦)
(Synthetic rutile)</t>
  </si>
  <si>
    <t>金紅石二氧化鈦
(Rutile titanium dioxide (chloride route))</t>
  </si>
  <si>
    <t>註：資料來源為2006 IPCC Guidelines for National Greenhouse Gas Inventories, Volume 3 Industrial Processes and Product Use, chapter 3:Chemical Industry Emissions, table 3.9。</t>
  </si>
  <si>
    <t>（七）碳酸鈉 （純鹼/蘇打）生產</t>
  </si>
  <si>
    <t>生產方式</t>
  </si>
  <si>
    <r>
      <t>CO</t>
    </r>
    <r>
      <rPr>
        <vertAlign val="subscript"/>
        <sz val="12"/>
        <color rgb="FF000000"/>
        <rFont val="微軟正黑體"/>
        <family val="2"/>
        <charset val="136"/>
      </rPr>
      <t>2</t>
    </r>
    <r>
      <rPr>
        <sz val="12"/>
        <color rgb="FF000000"/>
        <rFont val="微軟正黑體"/>
        <family val="2"/>
        <charset val="136"/>
      </rPr>
      <t>排放係數
（公噸/公噸天然鹼礦（Trona））</t>
    </r>
  </si>
  <si>
    <r>
      <t>CO</t>
    </r>
    <r>
      <rPr>
        <vertAlign val="subscript"/>
        <sz val="12"/>
        <color rgb="FF000000"/>
        <rFont val="微軟正黑體"/>
        <family val="2"/>
        <charset val="136"/>
      </rPr>
      <t>2</t>
    </r>
    <r>
      <rPr>
        <sz val="12"/>
        <color rgb="FF000000"/>
        <rFont val="微軟正黑體"/>
        <family val="2"/>
        <charset val="136"/>
      </rPr>
      <t>排放係數
（公噸/公噸碳酸鈉（soda ash））</t>
    </r>
  </si>
  <si>
    <t>天然礦物製造
(Natural soda ash production)</t>
  </si>
  <si>
    <t>註1：天然鹼礦之純度預設為90%。</t>
  </si>
  <si>
    <t>註2：資料來源為2006 IPCC Guidelines for National Greenhouse Gas Inventories, Volume 3 Industrial Processes and Product Use, chapter 3:Chemical Industry Emissions, equation 3.14。</t>
  </si>
  <si>
    <t>（八） 石化和碳黑生產</t>
  </si>
  <si>
    <t>1.甲醇生產</t>
  </si>
  <si>
    <t>原料投入種類</t>
  </si>
  <si>
    <r>
      <t>CO</t>
    </r>
    <r>
      <rPr>
        <vertAlign val="subscript"/>
        <sz val="12"/>
        <color rgb="FF000000"/>
        <rFont val="微軟正黑體"/>
        <family val="2"/>
        <charset val="136"/>
      </rPr>
      <t>2</t>
    </r>
    <r>
      <rPr>
        <sz val="12"/>
        <color rgb="FF000000"/>
        <rFont val="微軟正黑體"/>
        <family val="2"/>
        <charset val="136"/>
      </rPr>
      <t>排放係數（公噸/公噸甲醇）</t>
    </r>
  </si>
  <si>
    <r>
      <t>天然氣+CO</t>
    </r>
    <r>
      <rPr>
        <vertAlign val="subscript"/>
        <sz val="12"/>
        <color rgb="FF000000"/>
        <rFont val="微軟正黑體"/>
        <family val="2"/>
        <charset val="136"/>
      </rPr>
      <t>2</t>
    </r>
  </si>
  <si>
    <t>油</t>
  </si>
  <si>
    <t>煤</t>
  </si>
  <si>
    <t>慣用蒸汽重組（不含初級重組）
（預設過程及以天然氣為原料）
(Conventional Steam Reforming, without primary reformer)
(Default Process and Natural Gas Default Feedstock)</t>
  </si>
  <si>
    <t>慣用蒸汽重組（含初級重組）
(Conventional Steam Reforming, with primary reformer)</t>
  </si>
  <si>
    <t>慣用蒸汽重組（Lurgi慣用製程）
(Conventional Steam Reforming, Lurgi Conventional process)</t>
  </si>
  <si>
    <t>慣用蒸汽重組（Lurgi低壓製程）
(Conventional Steam Reforming, Lurgi Low Pressure Process)</t>
  </si>
  <si>
    <t>組合蒸汽重組（Lurgi組合製程）
(Combined Steam Reforming, Lurgi Combined Process)</t>
  </si>
  <si>
    <t>慣用蒸汽重組（Lurgi Mega甲醇製程）
(Conventional Steam Reforming, Lurgi Mega Methanol Process)</t>
  </si>
  <si>
    <t>部分氧化過程
(Partial oxidation process)</t>
  </si>
  <si>
    <t>慣用蒸汽重組（整合氨氣生產）
(Conventional Steam Reforming with integrated ammonia production)</t>
  </si>
  <si>
    <t>註1：Lurgi為甲醇生產技術的供應商之一，已知採Lurgi生產技術者方可依型式採用對應之排放係數，反之，應採用慣用蒸汽重組之排放係數。</t>
  </si>
  <si>
    <t>註2：生產每公噸甲醇之CH4排放為2.3公斤CH4。</t>
  </si>
  <si>
    <t>註3：資料來源為2006 IPCC Guidelines for National Greenhouse Gas Inventories, Volume 3 Industrial Processes and Product Use, chapter 3:Chemical Industry Emissions, table 3.12。</t>
  </si>
  <si>
    <t>2.乙烯生產</t>
  </si>
  <si>
    <r>
      <t>CO</t>
    </r>
    <r>
      <rPr>
        <vertAlign val="subscript"/>
        <sz val="12"/>
        <color rgb="FF000000"/>
        <rFont val="Microsoft JhengHei Light"/>
        <family val="2"/>
        <charset val="2"/>
      </rPr>
      <t>2</t>
    </r>
    <r>
      <rPr>
        <sz val="12"/>
        <color rgb="FF000000"/>
        <rFont val="Microsoft JhengHei Light"/>
        <family val="2"/>
      </rPr>
      <t>排放係數（公噸/公噸乙烯）</t>
    </r>
  </si>
  <si>
    <t>丙烷</t>
  </si>
  <si>
    <t>丁烷</t>
  </si>
  <si>
    <t>其他</t>
  </si>
  <si>
    <t>乙烯（含括原料、製程及能源）
(Ethylene ((Total Process and Energy Feedstock Use))</t>
  </si>
  <si>
    <t xml:space="preserve">   -原料、製程</t>
  </si>
  <si>
    <t xml:space="preserve">   -補充燃料</t>
  </si>
  <si>
    <r>
      <t>註1：生產每公噸乙烯之CH</t>
    </r>
    <r>
      <rPr>
        <vertAlign val="subscript"/>
        <sz val="12"/>
        <color rgb="FF000000"/>
        <rFont val="微軟正黑體"/>
        <family val="2"/>
        <charset val="136"/>
      </rPr>
      <t>4</t>
    </r>
    <r>
      <rPr>
        <sz val="12"/>
        <color rgb="FF000000"/>
        <rFont val="微軟正黑體"/>
        <family val="2"/>
        <charset val="136"/>
      </rPr>
      <t>排放分別是乙烷為原料：6公斤CH</t>
    </r>
    <r>
      <rPr>
        <vertAlign val="subscript"/>
        <sz val="12"/>
        <color rgb="FF000000"/>
        <rFont val="微軟正黑體"/>
        <family val="2"/>
        <charset val="136"/>
      </rPr>
      <t>4</t>
    </r>
    <r>
      <rPr>
        <sz val="12"/>
        <color rgb="FF000000"/>
        <rFont val="微軟正黑體"/>
        <family val="2"/>
        <charset val="136"/>
      </rPr>
      <t>、其餘原料：3公斤CH</t>
    </r>
    <r>
      <rPr>
        <vertAlign val="subscript"/>
        <sz val="12"/>
        <color rgb="FF000000"/>
        <rFont val="微軟正黑體"/>
        <family val="2"/>
        <charset val="136"/>
      </rPr>
      <t>4</t>
    </r>
    <r>
      <rPr>
        <sz val="12"/>
        <color rgb="FF000000"/>
        <rFont val="微軟正黑體"/>
        <family val="2"/>
        <charset val="136"/>
      </rPr>
      <t>。</t>
    </r>
  </si>
  <si>
    <t>註2：資料來源為2006 IPCC Guidelines for National Greenhouse Gas Inventories, Volume 3 Industrial Processes and Product Use, chapter 3:Chemical Industry Emissions, table 3.14、16。</t>
  </si>
  <si>
    <t>3.二氯乙烷/氯乙烯單體生產</t>
  </si>
  <si>
    <r>
      <t>CO</t>
    </r>
    <r>
      <rPr>
        <vertAlign val="subscript"/>
        <sz val="12"/>
        <color rgb="FF000000"/>
        <rFont val="Microsoft JhengHei Light"/>
        <family val="2"/>
        <charset val="2"/>
      </rPr>
      <t>2</t>
    </r>
    <r>
      <rPr>
        <sz val="12"/>
        <color rgb="FF000000"/>
        <rFont val="Microsoft JhengHei Light"/>
        <family val="2"/>
      </rPr>
      <t>排放係數</t>
    </r>
  </si>
  <si>
    <t>（公噸/公噸二氯乙烷）</t>
  </si>
  <si>
    <t>（公噸/公噸氯乙烯）</t>
  </si>
  <si>
    <t>直接氯化過程（Direct Chlorination Process）</t>
  </si>
  <si>
    <t>-非燃燒(Noncombustion Process Vent)</t>
  </si>
  <si>
    <t>（可忽略）</t>
  </si>
  <si>
    <t>-燃燒(Combustion Emissions)</t>
  </si>
  <si>
    <r>
      <t xml:space="preserve">   -總CO</t>
    </r>
    <r>
      <rPr>
        <vertAlign val="subscript"/>
        <sz val="12"/>
        <color rgb="FF000000"/>
        <rFont val="Microsoft JhengHei Light"/>
        <family val="2"/>
        <charset val="2"/>
      </rPr>
      <t>2</t>
    </r>
    <r>
      <rPr>
        <sz val="12"/>
        <color rgb="FF000000"/>
        <rFont val="Microsoft JhengHei Light"/>
        <family val="2"/>
      </rPr>
      <t>排放係數</t>
    </r>
  </si>
  <si>
    <t>氧氯化過程（Oxychlorination Process）</t>
  </si>
  <si>
    <r>
      <t>-總CO</t>
    </r>
    <r>
      <rPr>
        <vertAlign val="subscript"/>
        <sz val="12"/>
        <color rgb="FF000000"/>
        <rFont val="Microsoft JhengHei Light"/>
        <family val="2"/>
        <charset val="2"/>
      </rPr>
      <t>2</t>
    </r>
    <r>
      <rPr>
        <sz val="12"/>
        <color rgb="FF000000"/>
        <rFont val="Microsoft JhengHei Light"/>
        <family val="2"/>
      </rPr>
      <t>排放係數</t>
    </r>
  </si>
  <si>
    <t xml:space="preserve"> 平衡過程（Balanced Process [default process]）</t>
  </si>
  <si>
    <r>
      <t xml:space="preserve">    -總CO</t>
    </r>
    <r>
      <rPr>
        <vertAlign val="subscript"/>
        <sz val="12"/>
        <color rgb="FF000000"/>
        <rFont val="Microsoft JhengHei Light"/>
        <family val="2"/>
        <charset val="2"/>
      </rPr>
      <t>2</t>
    </r>
    <r>
      <rPr>
        <sz val="12"/>
        <color rgb="FF000000"/>
        <rFont val="Microsoft JhengHei Light"/>
        <family val="2"/>
      </rPr>
      <t>排放係數</t>
    </r>
  </si>
  <si>
    <r>
      <t>註1：生產每公噸二氯乙烷/氯乙烯之CH</t>
    </r>
    <r>
      <rPr>
        <vertAlign val="subscript"/>
        <sz val="12"/>
        <color rgb="FF000000"/>
        <rFont val="微軟正黑體"/>
        <family val="2"/>
        <charset val="136"/>
      </rPr>
      <t>4</t>
    </r>
    <r>
      <rPr>
        <sz val="12"/>
        <color rgb="FF000000"/>
        <rFont val="微軟正黑體"/>
        <family val="2"/>
        <charset val="136"/>
      </rPr>
      <t>排放為0.0226公斤CH</t>
    </r>
    <r>
      <rPr>
        <vertAlign val="subscript"/>
        <sz val="12"/>
        <color rgb="FF000000"/>
        <rFont val="微軟正黑體"/>
        <family val="2"/>
        <charset val="136"/>
      </rPr>
      <t>4</t>
    </r>
    <r>
      <rPr>
        <sz val="12"/>
        <color rgb="FF000000"/>
        <rFont val="微軟正黑體"/>
        <family val="2"/>
        <charset val="136"/>
      </rPr>
      <t>。但不適用於僅生產二氯乙烷的工廠。</t>
    </r>
  </si>
  <si>
    <t>註2：資料來源為2006 IPCC Guidelines for National Greenhouse Gas Inventories, Volume 3 Industrial Processes and Product Use, chapter 3:Chemical Industry Emissions, table 3.17 、19。</t>
  </si>
  <si>
    <t>4.環氧乙烷生產</t>
  </si>
  <si>
    <t>選擇性觸媒效率</t>
  </si>
  <si>
    <t>（公噸/公噸環氧乙烷）</t>
  </si>
  <si>
    <t>空氣程序
(Air Process)</t>
  </si>
  <si>
    <t>氧化程序
(Oxygen Process)</t>
  </si>
  <si>
    <r>
      <t>註1：生產每公噸環氧乙烷之CH</t>
    </r>
    <r>
      <rPr>
        <vertAlign val="subscript"/>
        <sz val="12"/>
        <color rgb="FF000000"/>
        <rFont val="微軟正黑體"/>
        <family val="2"/>
        <charset val="136"/>
      </rPr>
      <t>4</t>
    </r>
    <r>
      <rPr>
        <sz val="12"/>
        <color rgb="FF000000"/>
        <rFont val="微軟正黑體"/>
        <family val="2"/>
        <charset val="136"/>
      </rPr>
      <t>排放分別為廢氣未經熱處理：1.79公斤CH</t>
    </r>
    <r>
      <rPr>
        <vertAlign val="subscript"/>
        <sz val="12"/>
        <color rgb="FF000000"/>
        <rFont val="微軟正黑體"/>
        <family val="2"/>
        <charset val="136"/>
      </rPr>
      <t>4</t>
    </r>
    <r>
      <rPr>
        <sz val="12"/>
        <color rgb="FF000000"/>
        <rFont val="微軟正黑體"/>
        <family val="2"/>
        <charset val="136"/>
      </rPr>
      <t>、廢氣經熱處理：0.79公斤CH</t>
    </r>
    <r>
      <rPr>
        <vertAlign val="subscript"/>
        <sz val="12"/>
        <color rgb="FF000000"/>
        <rFont val="微軟正黑體"/>
        <family val="2"/>
        <charset val="136"/>
      </rPr>
      <t>4</t>
    </r>
    <r>
      <rPr>
        <sz val="12"/>
        <color rgb="FF000000"/>
        <rFont val="微軟正黑體"/>
        <family val="2"/>
        <charset val="136"/>
      </rPr>
      <t>。</t>
    </r>
  </si>
  <si>
    <t>註2：資料來源為2006 IPCC Guidelines for National Greenhouse Gas Inventories, Volume 3 Industrial Processes and Product Use, chapter 3:Chemical Industry Emissions, table 3.20、 21。</t>
  </si>
  <si>
    <t>5.丙烯腈生產</t>
  </si>
  <si>
    <t>（公噸/公噸丙烯腈）</t>
  </si>
  <si>
    <t>副產品燃燒（Secondary Products Burned for Energy Recovery/Flared）</t>
  </si>
  <si>
    <t>乙腈燃燒（Acetonitrile Burned for Energy Recovery/Flared）</t>
  </si>
  <si>
    <t>回收乙腈和氰化氫投入生產（Acetonitrile and Hydrogen Cyanide Recovered as Product）</t>
  </si>
  <si>
    <r>
      <t>註1：生產每公噸丙烯腈之CH</t>
    </r>
    <r>
      <rPr>
        <vertAlign val="subscript"/>
        <sz val="12"/>
        <color rgb="FF000000"/>
        <rFont val="微軟正黑體"/>
        <family val="2"/>
        <charset val="136"/>
      </rPr>
      <t>4</t>
    </r>
    <r>
      <rPr>
        <sz val="12"/>
        <color rgb="FF000000"/>
        <rFont val="微軟正黑體"/>
        <family val="2"/>
        <charset val="136"/>
      </rPr>
      <t>排放為0.18公斤CH</t>
    </r>
    <r>
      <rPr>
        <vertAlign val="subscript"/>
        <sz val="12"/>
        <color rgb="FF000000"/>
        <rFont val="微軟正黑體"/>
        <family val="2"/>
        <charset val="136"/>
      </rPr>
      <t>4</t>
    </r>
    <r>
      <rPr>
        <sz val="12"/>
        <color rgb="FF000000"/>
        <rFont val="微軟正黑體"/>
        <family val="2"/>
        <charset val="136"/>
      </rPr>
      <t>。</t>
    </r>
  </si>
  <si>
    <t>註2：資料來源為2006 IPCC Guidelines for National Greenhouse Gas Inventories, Volume 3 Industrial Processes and Product Use, chapter 3:Chemical Industry Emissions, table 3.22。</t>
  </si>
  <si>
    <t>6.碳黑生產</t>
  </si>
  <si>
    <r>
      <t>CO</t>
    </r>
    <r>
      <rPr>
        <vertAlign val="subscript"/>
        <sz val="12"/>
        <color rgb="FF000000"/>
        <rFont val="Microsoft JhengHei Light"/>
        <family val="2"/>
        <charset val="2"/>
      </rPr>
      <t>2</t>
    </r>
    <r>
      <rPr>
        <sz val="12"/>
        <color rgb="FF000000"/>
        <rFont val="Microsoft JhengHei Light"/>
        <family val="2"/>
      </rPr>
      <t>排放係數（公噸/公噸碳黑）</t>
    </r>
  </si>
  <si>
    <r>
      <t>主原料CO</t>
    </r>
    <r>
      <rPr>
        <vertAlign val="subscript"/>
        <sz val="12"/>
        <color rgb="FF000000"/>
        <rFont val="Microsoft JhengHei Light"/>
        <family val="2"/>
        <charset val="2"/>
      </rPr>
      <t>2</t>
    </r>
  </si>
  <si>
    <r>
      <t>副原料CO</t>
    </r>
    <r>
      <rPr>
        <vertAlign val="subscript"/>
        <sz val="12"/>
        <color rgb="FF000000"/>
        <rFont val="Microsoft JhengHei Light"/>
        <family val="2"/>
        <charset val="2"/>
      </rPr>
      <t>2</t>
    </r>
  </si>
  <si>
    <r>
      <t>總CO</t>
    </r>
    <r>
      <rPr>
        <vertAlign val="subscript"/>
        <sz val="12"/>
        <color rgb="FF000000"/>
        <rFont val="Microsoft JhengHei Light"/>
        <family val="2"/>
        <charset val="2"/>
      </rPr>
      <t>2</t>
    </r>
  </si>
  <si>
    <t>排放係數</t>
  </si>
  <si>
    <t>燃燒(Furnace Black Process)</t>
  </si>
  <si>
    <t>熱裂解(Thermal Black Process)</t>
  </si>
  <si>
    <t>乙炔化(Acetylene Black Process)</t>
  </si>
  <si>
    <r>
      <t>註1：生產每公噸丙烯腈之CH</t>
    </r>
    <r>
      <rPr>
        <vertAlign val="subscript"/>
        <sz val="12"/>
        <color rgb="FF000000"/>
        <rFont val="微軟正黑體"/>
        <family val="2"/>
        <charset val="136"/>
      </rPr>
      <t>4</t>
    </r>
    <r>
      <rPr>
        <sz val="12"/>
        <color rgb="FF000000"/>
        <rFont val="微軟正黑體"/>
        <family val="2"/>
        <charset val="136"/>
      </rPr>
      <t>排放分別為廢氣未經熱處理：28.7公斤CH</t>
    </r>
    <r>
      <rPr>
        <vertAlign val="subscript"/>
        <sz val="12"/>
        <color rgb="FF000000"/>
        <rFont val="微軟正黑體"/>
        <family val="2"/>
        <charset val="136"/>
      </rPr>
      <t>4</t>
    </r>
    <r>
      <rPr>
        <sz val="12"/>
        <color rgb="FF000000"/>
        <rFont val="微軟正黑體"/>
        <family val="2"/>
        <charset val="136"/>
      </rPr>
      <t>、廢氣經熱處理：0.06公斤CH</t>
    </r>
    <r>
      <rPr>
        <vertAlign val="subscript"/>
        <sz val="12"/>
        <color rgb="FF000000"/>
        <rFont val="微軟正黑體"/>
        <family val="2"/>
        <charset val="136"/>
      </rPr>
      <t>4</t>
    </r>
    <r>
      <rPr>
        <sz val="12"/>
        <color rgb="FF000000"/>
        <rFont val="微軟正黑體"/>
        <family val="2"/>
        <charset val="136"/>
      </rPr>
      <t>。</t>
    </r>
  </si>
  <si>
    <t>註2：資料來源為2006 IPCC Guidelines for National Greenhouse Gas Inventories, Volume 3 Industrial Processes and Product Use, chapter 3:Chemical Industry Emissions, table 3.23、 24。</t>
  </si>
  <si>
    <t>（九）二氟一氯甲烷生產</t>
  </si>
  <si>
    <t>分類</t>
  </si>
  <si>
    <t>HFC-23排放係數</t>
  </si>
  <si>
    <t>(公斤 HFC-23/公斤HCFC-22)</t>
  </si>
  <si>
    <t>1940-1990/1995之舊或未優化的工廠
(Old, unoptimised plants (e.g., 1940s to 1990/1995))</t>
  </si>
  <si>
    <t>新工廠
(Plants of recent design, not specifically optimised)</t>
  </si>
  <si>
    <t>全球平均
(Global average emissions (1978 - 1995))</t>
  </si>
  <si>
    <t>註：資料來源為2019 IPCC Guidelines for National Greenhouse Gas Inventories, Volume 3 Industrial Processes and Product Use, chapter 3:Chemical Industry Emissions, table 3.28。</t>
  </si>
  <si>
    <t>（一） 鐵、鋼及冶金焦生產</t>
  </si>
  <si>
    <t>1.二氧化碳排放</t>
  </si>
  <si>
    <t>鐵生產過程</t>
  </si>
  <si>
    <t>一、焦炭製程（Coke production）</t>
  </si>
  <si>
    <r>
      <t>焦炭-使用回收副產品生產者（公噸CO</t>
    </r>
    <r>
      <rPr>
        <vertAlign val="subscript"/>
        <sz val="12"/>
        <color rgb="FF000000"/>
        <rFont val="Microsoft JhengHei Light"/>
        <family val="2"/>
        <charset val="2"/>
      </rPr>
      <t>2</t>
    </r>
    <r>
      <rPr>
        <sz val="12"/>
        <color rgb="FF000000"/>
        <rFont val="Microsoft JhengHei Light"/>
        <family val="2"/>
      </rPr>
      <t>/公噸焦炭）
Coke production using by-product recovery technology (tonne of CO</t>
    </r>
    <r>
      <rPr>
        <vertAlign val="subscript"/>
        <sz val="12"/>
        <color rgb="FF000000"/>
        <rFont val="Microsoft JhengHei Light"/>
        <family val="2"/>
        <charset val="2"/>
      </rPr>
      <t>2</t>
    </r>
    <r>
      <rPr>
        <sz val="12"/>
        <color rgb="FF000000"/>
        <rFont val="Microsoft JhengHei Light"/>
        <family val="2"/>
      </rPr>
      <t>/tonne of coke)</t>
    </r>
  </si>
  <si>
    <r>
      <t>焦炭-無使用回收副產品生產者（公噸CO</t>
    </r>
    <r>
      <rPr>
        <vertAlign val="subscript"/>
        <sz val="12"/>
        <color rgb="FF000000"/>
        <rFont val="Microsoft JhengHei Light"/>
        <family val="2"/>
        <charset val="2"/>
      </rPr>
      <t>2</t>
    </r>
    <r>
      <rPr>
        <sz val="12"/>
        <color rgb="FF000000"/>
        <rFont val="Microsoft JhengHei Light"/>
        <family val="2"/>
      </rPr>
      <t>/公噸焦炭）
Coke production without by-product recovery (tonne of CO</t>
    </r>
    <r>
      <rPr>
        <vertAlign val="subscript"/>
        <sz val="12"/>
        <color rgb="FF000000"/>
        <rFont val="Microsoft JhengHei Light"/>
        <family val="2"/>
        <charset val="2"/>
      </rPr>
      <t>2</t>
    </r>
    <r>
      <rPr>
        <sz val="12"/>
        <color rgb="FF000000"/>
        <rFont val="Microsoft JhengHei Light"/>
        <family val="2"/>
      </rPr>
      <t>/tonne of coke)</t>
    </r>
  </si>
  <si>
    <t>二、燒結製程（Sinter production）</t>
  </si>
  <si>
    <r>
      <t>燒結礦生產（公噸CO</t>
    </r>
    <r>
      <rPr>
        <vertAlign val="subscript"/>
        <sz val="12"/>
        <color rgb="FF000000"/>
        <rFont val="Microsoft JhengHei Light"/>
        <family val="2"/>
        <charset val="2"/>
      </rPr>
      <t>2</t>
    </r>
    <r>
      <rPr>
        <sz val="12"/>
        <color rgb="FF000000"/>
        <rFont val="Microsoft JhengHei Light"/>
        <family val="2"/>
      </rPr>
      <t>/公噸燒結礦）
Sinter production(tonne of CO</t>
    </r>
    <r>
      <rPr>
        <vertAlign val="subscript"/>
        <sz val="12"/>
        <color rgb="FF000000"/>
        <rFont val="Microsoft JhengHei Light"/>
        <family val="2"/>
        <charset val="2"/>
      </rPr>
      <t>2</t>
    </r>
    <r>
      <rPr>
        <sz val="12"/>
        <color rgb="FF000000"/>
        <rFont val="Microsoft JhengHei Light"/>
        <family val="2"/>
      </rPr>
      <t>/tonne of sinter)</t>
    </r>
  </si>
  <si>
    <r>
      <t>球結礦生產（公噸CO</t>
    </r>
    <r>
      <rPr>
        <vertAlign val="subscript"/>
        <sz val="12"/>
        <color rgb="FF000000"/>
        <rFont val="Microsoft JhengHei Light"/>
        <family val="2"/>
        <charset val="2"/>
      </rPr>
      <t>2</t>
    </r>
    <r>
      <rPr>
        <sz val="12"/>
        <color rgb="FF000000"/>
        <rFont val="Microsoft JhengHei Light"/>
        <family val="2"/>
      </rPr>
      <t>/公噸球結礦）
 Pellet production (tonne CO</t>
    </r>
    <r>
      <rPr>
        <vertAlign val="subscript"/>
        <sz val="12"/>
        <color rgb="FF000000"/>
        <rFont val="Microsoft JhengHei Light"/>
        <family val="2"/>
        <charset val="2"/>
      </rPr>
      <t>2</t>
    </r>
    <r>
      <rPr>
        <sz val="12"/>
        <color rgb="FF000000"/>
        <rFont val="Microsoft JhengHei Light"/>
        <family val="2"/>
      </rPr>
      <t>/tonne pellet produced)</t>
    </r>
  </si>
  <si>
    <t>三、鋼鐵製程（Iron and Steel production）</t>
  </si>
  <si>
    <r>
      <t>生鐵生產（公噸CO</t>
    </r>
    <r>
      <rPr>
        <vertAlign val="subscript"/>
        <sz val="12"/>
        <color rgb="FF000000"/>
        <rFont val="Microsoft JhengHei Light"/>
        <family val="2"/>
        <charset val="2"/>
      </rPr>
      <t>2</t>
    </r>
    <r>
      <rPr>
        <sz val="12"/>
        <color rgb="FF000000"/>
        <rFont val="Microsoft JhengHei Light"/>
        <family val="2"/>
      </rPr>
      <t>/公噸生鐵）
Iron production(tonne CO</t>
    </r>
    <r>
      <rPr>
        <vertAlign val="subscript"/>
        <sz val="12"/>
        <color rgb="FF000000"/>
        <rFont val="Microsoft JhengHei Light"/>
        <family val="2"/>
        <charset val="2"/>
      </rPr>
      <t>2</t>
    </r>
    <r>
      <rPr>
        <sz val="12"/>
        <color rgb="FF000000"/>
        <rFont val="Microsoft JhengHei Light"/>
        <family val="2"/>
      </rPr>
      <t>/tonne of hot metal)</t>
    </r>
  </si>
  <si>
    <r>
      <t>直接還原鐵（公噸CO</t>
    </r>
    <r>
      <rPr>
        <vertAlign val="subscript"/>
        <sz val="12"/>
        <color rgb="FF000000"/>
        <rFont val="Microsoft JhengHei Light"/>
        <family val="2"/>
        <charset val="2"/>
      </rPr>
      <t>2</t>
    </r>
    <r>
      <rPr>
        <sz val="12"/>
        <color rgb="FF000000"/>
        <rFont val="Microsoft JhengHei Light"/>
        <family val="2"/>
      </rPr>
      <t>/公噸直接還原鐵）
Direct Reduced Iron (DRI) production (tonne CO</t>
    </r>
    <r>
      <rPr>
        <vertAlign val="subscript"/>
        <sz val="12"/>
        <color rgb="FF000000"/>
        <rFont val="Microsoft JhengHei Light"/>
        <family val="2"/>
        <charset val="2"/>
      </rPr>
      <t>2</t>
    </r>
    <r>
      <rPr>
        <sz val="12"/>
        <color rgb="FF000000"/>
        <rFont val="Microsoft JhengHei Light"/>
        <family val="2"/>
      </rPr>
      <t xml:space="preserve"> / tonne DRI produced)</t>
    </r>
  </si>
  <si>
    <t>四、煉鋼方法（Steelmaking Method）</t>
  </si>
  <si>
    <r>
      <t>電弧爐（公噸CO</t>
    </r>
    <r>
      <rPr>
        <vertAlign val="subscript"/>
        <sz val="12"/>
        <color rgb="FF000000"/>
        <rFont val="Microsoft JhengHei Light"/>
        <family val="2"/>
        <charset val="2"/>
      </rPr>
      <t>2</t>
    </r>
    <r>
      <rPr>
        <sz val="12"/>
        <color rgb="FF000000"/>
        <rFont val="Microsoft JhengHei Light"/>
        <family val="2"/>
      </rPr>
      <t>/公噸鋼）</t>
    </r>
    <r>
      <rPr>
        <vertAlign val="superscript"/>
        <sz val="12"/>
        <color rgb="FF000000"/>
        <rFont val="Microsoft JhengHei Light"/>
        <family val="2"/>
        <charset val="2"/>
      </rPr>
      <t xml:space="preserve"> 註1</t>
    </r>
    <r>
      <rPr>
        <vertAlign val="superscript"/>
        <sz val="12"/>
        <color rgb="FF000000"/>
        <rFont val="Microsoft JhengHei Light"/>
        <family val="2"/>
        <charset val="2"/>
      </rPr>
      <t xml:space="preserve">
</t>
    </r>
    <r>
      <rPr>
        <sz val="12"/>
        <color rgb="FF000000"/>
        <rFont val="Microsoft JhengHei Light"/>
        <family val="2"/>
      </rPr>
      <t>Electric Arc Furnace (EAF) (tonne CO</t>
    </r>
    <r>
      <rPr>
        <vertAlign val="subscript"/>
        <sz val="12"/>
        <color rgb="FF000000"/>
        <rFont val="Microsoft JhengHei Light"/>
        <family val="2"/>
        <charset val="2"/>
      </rPr>
      <t>2</t>
    </r>
    <r>
      <rPr>
        <sz val="12"/>
        <color rgb="FF000000"/>
        <rFont val="Microsoft JhengHei Light"/>
        <family val="2"/>
      </rPr>
      <t>/tonne of steel produced)</t>
    </r>
  </si>
  <si>
    <r>
      <t>轉爐（公噸CO</t>
    </r>
    <r>
      <rPr>
        <vertAlign val="subscript"/>
        <sz val="12"/>
        <color rgb="FF000000"/>
        <rFont val="Microsoft JhengHei Light"/>
        <family val="2"/>
        <charset val="2"/>
      </rPr>
      <t>2</t>
    </r>
    <r>
      <rPr>
        <sz val="12"/>
        <color rgb="FF000000"/>
        <rFont val="Microsoft JhengHei Light"/>
        <family val="2"/>
      </rPr>
      <t>/公噸鋼）</t>
    </r>
    <r>
      <rPr>
        <vertAlign val="superscript"/>
        <sz val="12"/>
        <color rgb="FF000000"/>
        <rFont val="Microsoft JhengHei Light"/>
        <family val="2"/>
        <charset val="2"/>
      </rPr>
      <t xml:space="preserve"> 註2</t>
    </r>
    <r>
      <rPr>
        <vertAlign val="superscript"/>
        <sz val="12"/>
        <color rgb="FF000000"/>
        <rFont val="Microsoft JhengHei Light"/>
        <family val="2"/>
        <charset val="2"/>
      </rPr>
      <t xml:space="preserve">
</t>
    </r>
    <r>
      <rPr>
        <sz val="12"/>
        <color rgb="FF000000"/>
        <rFont val="Microsoft JhengHei Light"/>
        <family val="2"/>
      </rPr>
      <t>Basic Oxygen Furnace (BOF) (tonne CO</t>
    </r>
    <r>
      <rPr>
        <vertAlign val="subscript"/>
        <sz val="12"/>
        <color rgb="FF000000"/>
        <rFont val="Microsoft JhengHei Light"/>
        <family val="2"/>
        <charset val="2"/>
      </rPr>
      <t>2</t>
    </r>
    <r>
      <rPr>
        <sz val="12"/>
        <color rgb="FF000000"/>
        <rFont val="Microsoft JhengHei Light"/>
        <family val="2"/>
      </rPr>
      <t>/tonne of steel produced)</t>
    </r>
  </si>
  <si>
    <r>
      <t>平爐（公噸CO</t>
    </r>
    <r>
      <rPr>
        <vertAlign val="subscript"/>
        <sz val="12"/>
        <color rgb="FF000000"/>
        <rFont val="Microsoft JhengHei Light"/>
        <family val="2"/>
        <charset val="2"/>
      </rPr>
      <t>2</t>
    </r>
    <r>
      <rPr>
        <sz val="12"/>
        <color rgb="FF000000"/>
        <rFont val="Microsoft JhengHei Light"/>
        <family val="2"/>
      </rPr>
      <t>/公噸鋼）</t>
    </r>
    <r>
      <rPr>
        <vertAlign val="superscript"/>
        <sz val="12"/>
        <color rgb="FF000000"/>
        <rFont val="Microsoft JhengHei Light"/>
        <family val="2"/>
        <charset val="2"/>
      </rPr>
      <t xml:space="preserve"> 註2</t>
    </r>
    <r>
      <rPr>
        <vertAlign val="superscript"/>
        <sz val="12"/>
        <color rgb="FF000000"/>
        <rFont val="Microsoft JhengHei Light"/>
        <family val="2"/>
        <charset val="2"/>
      </rPr>
      <t xml:space="preserve">
</t>
    </r>
    <r>
      <rPr>
        <sz val="12"/>
        <color rgb="FF000000"/>
        <rFont val="Microsoft JhengHei Light"/>
        <family val="2"/>
      </rPr>
      <t>Open Hearth Furnace (OHF) (tonne CO</t>
    </r>
    <r>
      <rPr>
        <vertAlign val="subscript"/>
        <sz val="12"/>
        <color rgb="FF000000"/>
        <rFont val="Microsoft JhengHei Light"/>
        <family val="2"/>
        <charset val="2"/>
      </rPr>
      <t>2</t>
    </r>
    <r>
      <rPr>
        <sz val="12"/>
        <color rgb="FF000000"/>
        <rFont val="Microsoft JhengHei Light"/>
        <family val="2"/>
      </rPr>
      <t>/tonne of steel produced)</t>
    </r>
  </si>
  <si>
    <t>註1：電弧爐煉鋼排放係數不包括高爐煉鐵過程中的CO2排放量。</t>
  </si>
  <si>
    <t>註2：轉爐煉鋼和平爐煉鋼的排放係數包含高爐煉鐵過程中的CO2排放量。</t>
  </si>
  <si>
    <t>註3：資料來源為2019 IPCC Guidelines for National Greenhouse Gas Inventories, Volume 3 Industrial Processes and Product Use, chapter 4:Metal Industry Emissions, table4.1、4.1A、4.1B。</t>
  </si>
  <si>
    <t>2.甲烷排放</t>
  </si>
  <si>
    <t>焦炭（非逸散）及鋼鐵製程
(Coke production(Non fugitives), Iron and Steel production)</t>
  </si>
  <si>
    <r>
      <t>CH</t>
    </r>
    <r>
      <rPr>
        <vertAlign val="subscript"/>
        <sz val="12"/>
        <color rgb="FF000000"/>
        <rFont val="Microsoft JhengHei Light"/>
        <family val="2"/>
        <charset val="2"/>
      </rPr>
      <t>4</t>
    </r>
    <r>
      <rPr>
        <sz val="12"/>
        <color rgb="FF000000"/>
        <rFont val="Microsoft JhengHei Light"/>
        <family val="2"/>
      </rPr>
      <t>排放係數</t>
    </r>
  </si>
  <si>
    <r>
      <t>焦炭生產（公斤CH</t>
    </r>
    <r>
      <rPr>
        <vertAlign val="subscript"/>
        <sz val="12"/>
        <color rgb="FF000000"/>
        <rFont val="Microsoft JhengHei Light"/>
        <family val="2"/>
        <charset val="2"/>
      </rPr>
      <t>4</t>
    </r>
    <r>
      <rPr>
        <sz val="12"/>
        <color rgb="FF000000"/>
        <rFont val="Microsoft JhengHei Light"/>
        <family val="2"/>
      </rPr>
      <t>/公噸焦炭）
(Coke Production (kg CH</t>
    </r>
    <r>
      <rPr>
        <vertAlign val="subscript"/>
        <sz val="12"/>
        <color rgb="FF000000"/>
        <rFont val="Microsoft JhengHei Light"/>
        <family val="2"/>
        <charset val="2"/>
      </rPr>
      <t>4</t>
    </r>
    <r>
      <rPr>
        <sz val="12"/>
        <color rgb="FF000000"/>
        <rFont val="Microsoft JhengHei Light"/>
        <family val="2"/>
      </rPr>
      <t>/tonne of coke produced))</t>
    </r>
  </si>
  <si>
    <r>
      <t>燒結礦生產（公斤CH</t>
    </r>
    <r>
      <rPr>
        <vertAlign val="subscript"/>
        <sz val="12"/>
        <color rgb="FF000000"/>
        <rFont val="Microsoft JhengHei Light"/>
        <family val="2"/>
        <charset val="2"/>
      </rPr>
      <t>4</t>
    </r>
    <r>
      <rPr>
        <sz val="12"/>
        <color rgb="FF000000"/>
        <rFont val="Microsoft JhengHei Light"/>
        <family val="2"/>
      </rPr>
      <t>/公噸燒結礦）
(Sinter Production (kg CH</t>
    </r>
    <r>
      <rPr>
        <vertAlign val="subscript"/>
        <sz val="12"/>
        <color rgb="FF000000"/>
        <rFont val="Microsoft JhengHei Light"/>
        <family val="2"/>
        <charset val="2"/>
      </rPr>
      <t>4</t>
    </r>
    <r>
      <rPr>
        <sz val="12"/>
        <color rgb="FF000000"/>
        <rFont val="Microsoft JhengHei Light"/>
        <family val="2"/>
      </rPr>
      <t>/tonne of sinter produced))</t>
    </r>
  </si>
  <si>
    <r>
      <t>直接還原鐵（公斤CH</t>
    </r>
    <r>
      <rPr>
        <vertAlign val="subscript"/>
        <sz val="12"/>
        <color rgb="FF000000"/>
        <rFont val="Microsoft JhengHei Light"/>
        <family val="2"/>
        <charset val="2"/>
      </rPr>
      <t>4</t>
    </r>
    <r>
      <rPr>
        <sz val="12"/>
        <color rgb="FF000000"/>
        <rFont val="Microsoft JhengHei Light"/>
        <family val="2"/>
      </rPr>
      <t>/ 兆焦耳（低位熱值））
(DRI Production kg CH</t>
    </r>
    <r>
      <rPr>
        <vertAlign val="subscript"/>
        <sz val="12"/>
        <color rgb="FF000000"/>
        <rFont val="Microsoft JhengHei Light"/>
        <family val="2"/>
        <charset val="2"/>
      </rPr>
      <t>4</t>
    </r>
    <r>
      <rPr>
        <sz val="12"/>
        <color rgb="FF000000"/>
        <rFont val="Microsoft JhengHei Light"/>
        <family val="2"/>
      </rPr>
      <t>/TJ (on a net calorific basis))</t>
    </r>
  </si>
  <si>
    <t>註：資料來源為2019 IPCC Guidelines for National Greenhouse Gas Inventories, Volume 3 Industrial Processes and Product Use, chapter 4:Metal Industry Emissions, table4.2。</t>
  </si>
  <si>
    <t>3.氧化亞氮排放</t>
  </si>
  <si>
    <t>焦炭及鋼鐵製程
（Coke production, Iron and Steel production）</t>
  </si>
  <si>
    <r>
      <t>N</t>
    </r>
    <r>
      <rPr>
        <vertAlign val="subscript"/>
        <sz val="12"/>
        <color rgb="FF000000"/>
        <rFont val="Microsoft JhengHei Light"/>
        <family val="2"/>
        <charset val="2"/>
      </rPr>
      <t>2</t>
    </r>
    <r>
      <rPr>
        <sz val="12"/>
        <color rgb="FF000000"/>
        <rFont val="Microsoft JhengHei Light"/>
        <family val="2"/>
      </rPr>
      <t>O排放係數</t>
    </r>
  </si>
  <si>
    <r>
      <t>高爐氣（公噸 N</t>
    </r>
    <r>
      <rPr>
        <vertAlign val="subscript"/>
        <sz val="12"/>
        <color rgb="FF000000"/>
        <rFont val="Microsoft JhengHei Light"/>
        <family val="2"/>
        <charset val="2"/>
      </rPr>
      <t>2</t>
    </r>
    <r>
      <rPr>
        <sz val="12"/>
        <color rgb="FF000000"/>
        <rFont val="Microsoft JhengHei Light"/>
        <family val="2"/>
      </rPr>
      <t>O /公噸高爐氣）
(Blast furnace gas flaring (tonnes N</t>
    </r>
    <r>
      <rPr>
        <vertAlign val="subscript"/>
        <sz val="12"/>
        <color rgb="FF000000"/>
        <rFont val="Microsoft JhengHei Light"/>
        <family val="2"/>
        <charset val="2"/>
      </rPr>
      <t>2</t>
    </r>
    <r>
      <rPr>
        <sz val="12"/>
        <color rgb="FF000000"/>
        <rFont val="Microsoft JhengHei Light"/>
        <family val="2"/>
      </rPr>
      <t>O / tonnes BFG flared))</t>
    </r>
  </si>
  <si>
    <r>
      <t>1.4 ×10</t>
    </r>
    <r>
      <rPr>
        <vertAlign val="superscript"/>
        <sz val="12"/>
        <color rgb="FF000000"/>
        <rFont val="Microsoft JhengHei Light"/>
        <family val="2"/>
        <charset val="2"/>
      </rPr>
      <t>-6</t>
    </r>
  </si>
  <si>
    <r>
      <t>高爐氣（公噸 N</t>
    </r>
    <r>
      <rPr>
        <vertAlign val="subscript"/>
        <sz val="12"/>
        <color rgb="FF000000"/>
        <rFont val="Microsoft JhengHei Light"/>
        <family val="2"/>
        <charset val="2"/>
      </rPr>
      <t>2</t>
    </r>
    <r>
      <rPr>
        <sz val="12"/>
        <color rgb="FF000000"/>
        <rFont val="Microsoft JhengHei Light"/>
        <family val="2"/>
      </rPr>
      <t>O / 吉焦耳高爐氣） 
(Blast furnace gas flaring (tonnes N</t>
    </r>
    <r>
      <rPr>
        <vertAlign val="subscript"/>
        <sz val="12"/>
        <color rgb="FF000000"/>
        <rFont val="Microsoft JhengHei Light"/>
        <family val="2"/>
        <charset val="2"/>
      </rPr>
      <t>2</t>
    </r>
    <r>
      <rPr>
        <sz val="12"/>
        <color rgb="FF000000"/>
        <rFont val="Microsoft JhengHei Light"/>
        <family val="2"/>
      </rPr>
      <t>O / GJ BFG flared))</t>
    </r>
  </si>
  <si>
    <r>
      <t>5.6 ×10</t>
    </r>
    <r>
      <rPr>
        <vertAlign val="superscript"/>
        <sz val="12"/>
        <color rgb="FF000000"/>
        <rFont val="Microsoft JhengHei Light"/>
        <family val="2"/>
        <charset val="2"/>
      </rPr>
      <t>-7</t>
    </r>
  </si>
  <si>
    <r>
      <t>轉爐氣（公噸 N</t>
    </r>
    <r>
      <rPr>
        <vertAlign val="subscript"/>
        <sz val="12"/>
        <color rgb="FF000000"/>
        <rFont val="Microsoft JhengHei Light"/>
        <family val="2"/>
        <charset val="2"/>
      </rPr>
      <t>2</t>
    </r>
    <r>
      <rPr>
        <sz val="12"/>
        <color rgb="FF000000"/>
        <rFont val="Microsoft JhengHei Light"/>
        <family val="2"/>
      </rPr>
      <t>O /公噸高爐氣）
(Converter gas flaring (tonnes N</t>
    </r>
    <r>
      <rPr>
        <vertAlign val="subscript"/>
        <sz val="12"/>
        <color rgb="FF000000"/>
        <rFont val="Microsoft JhengHei Light"/>
        <family val="2"/>
        <charset val="2"/>
      </rPr>
      <t>2</t>
    </r>
    <r>
      <rPr>
        <sz val="12"/>
        <color rgb="FF000000"/>
        <rFont val="Microsoft JhengHei Light"/>
        <family val="2"/>
      </rPr>
      <t>O / tonnes LDG flared))</t>
    </r>
  </si>
  <si>
    <r>
      <t>2.8 ×10</t>
    </r>
    <r>
      <rPr>
        <vertAlign val="superscript"/>
        <sz val="12"/>
        <color rgb="FF000000"/>
        <rFont val="Microsoft JhengHei Light"/>
        <family val="2"/>
        <charset val="2"/>
      </rPr>
      <t>-6</t>
    </r>
  </si>
  <si>
    <r>
      <t>轉爐氣（公噸 N</t>
    </r>
    <r>
      <rPr>
        <vertAlign val="subscript"/>
        <sz val="12"/>
        <color rgb="FF000000"/>
        <rFont val="Microsoft JhengHei Light"/>
        <family val="2"/>
        <charset val="2"/>
      </rPr>
      <t>2</t>
    </r>
    <r>
      <rPr>
        <sz val="12"/>
        <color rgb="FF000000"/>
        <rFont val="Microsoft JhengHei Light"/>
        <family val="2"/>
      </rPr>
      <t>O / 吉焦耳高爐氣）
(Converter gas flaring (tonnes N</t>
    </r>
    <r>
      <rPr>
        <vertAlign val="subscript"/>
        <sz val="12"/>
        <color rgb="FF000000"/>
        <rFont val="Microsoft JhengHei Light"/>
        <family val="2"/>
        <charset val="2"/>
      </rPr>
      <t>2</t>
    </r>
    <r>
      <rPr>
        <sz val="12"/>
        <color rgb="FF000000"/>
        <rFont val="Microsoft JhengHei Light"/>
        <family val="2"/>
      </rPr>
      <t>O / GJ LDG flared))</t>
    </r>
  </si>
  <si>
    <r>
      <t>4.0 ×10</t>
    </r>
    <r>
      <rPr>
        <vertAlign val="superscript"/>
        <sz val="12"/>
        <color rgb="FF000000"/>
        <rFont val="Microsoft JhengHei Light"/>
        <family val="2"/>
        <charset val="2"/>
      </rPr>
      <t>-7</t>
    </r>
  </si>
  <si>
    <t>註：資料來源為2019 IPCC Guidelines for National Greenhouse Gas Inventories, Volume 3 Industrial Processes and Product Use, chapter 4:Metal Industry Emissions, table4.2B。</t>
  </si>
  <si>
    <t>（二） 鐵合金生產</t>
  </si>
  <si>
    <t>鐵合金類型</t>
  </si>
  <si>
    <r>
      <t>CO</t>
    </r>
    <r>
      <rPr>
        <vertAlign val="subscript"/>
        <sz val="12"/>
        <color rgb="FF000000"/>
        <rFont val="Microsoft JhengHei Light"/>
        <family val="2"/>
        <charset val="2"/>
      </rPr>
      <t>2</t>
    </r>
    <r>
      <rPr>
        <sz val="12"/>
        <color rgb="FF000000"/>
        <rFont val="Microsoft JhengHei Light"/>
        <family val="2"/>
      </rPr>
      <t>排放係數
（公噸/公噸產品）</t>
    </r>
  </si>
  <si>
    <t>矽鐵（矽含量45%）
(Ferrosilicon 45% Si)</t>
  </si>
  <si>
    <t>矽鐵（矽含量65%）
(Ferrosilicon 65 % Si)</t>
  </si>
  <si>
    <t>矽鐵（矽含量75%）
(Ferrosillicon 75% Si)</t>
  </si>
  <si>
    <t>矽鐵（矽含量90%）
(Ferrosillicon 90% Si)</t>
  </si>
  <si>
    <t>錳鐵（碳含量7%）
(Ferromanganeses (7% C))</t>
  </si>
  <si>
    <t>錳鐵（碳含量1%）
(Ferromanganeses (1% C))</t>
  </si>
  <si>
    <t>矽錳（Silicomanganese)</t>
  </si>
  <si>
    <t>金屬矽（Silicon metal）</t>
  </si>
  <si>
    <t>鐵鉻（Ferrochromium）</t>
  </si>
  <si>
    <t>1.3
(燒結生產者為1.6)</t>
  </si>
  <si>
    <t>註：資料來源為2006 IPCC Guidelines for National Greenhouse Gas Inventories, Volume 3 Industrial Processes and Product Use, chapter 4:Metal Industry Emissions, table4.5。</t>
  </si>
  <si>
    <t>還原劑類型</t>
  </si>
  <si>
    <r>
      <t>CO</t>
    </r>
    <r>
      <rPr>
        <vertAlign val="subscript"/>
        <sz val="12"/>
        <color rgb="FF000000"/>
        <rFont val="Microsoft JhengHei Light"/>
        <family val="2"/>
        <charset val="2"/>
      </rPr>
      <t>2</t>
    </r>
    <r>
      <rPr>
        <sz val="12"/>
        <color rgb="FF000000"/>
        <rFont val="Microsoft JhengHei Light"/>
        <family val="2"/>
      </rPr>
      <t>排放係數
（公噸/公噸還原劑）</t>
    </r>
  </si>
  <si>
    <t>煤（矽鐵或金屬矽)
(Coal (for FeSi and Si-metal))</t>
  </si>
  <si>
    <t>焦炭（鐵錳或矽錳)
(Coke (for FeMn and SiMn))</t>
  </si>
  <si>
    <t>3.2-3.3</t>
  </si>
  <si>
    <t>焦炭（矽或矽鐵)
(Coke (for Si and FeSi))</t>
  </si>
  <si>
    <t>3.3-3.4</t>
  </si>
  <si>
    <t>預焙電極（Prebaked electrodes)</t>
  </si>
  <si>
    <t>電極膠（Electrode paste)</t>
  </si>
  <si>
    <t>石油焦（Petroleum coke)</t>
  </si>
  <si>
    <t>註：資料來源為2006 IPCC Guidelines for National Greenhouse Gas Inventories, Volume 3 Industrial Processes and Product Use, chapter 4:Metal Industry Emissions, table4.6。</t>
  </si>
  <si>
    <t>合金</t>
  </si>
  <si>
    <r>
      <t>CH</t>
    </r>
    <r>
      <rPr>
        <vertAlign val="subscript"/>
        <sz val="12"/>
        <color rgb="FF000000"/>
        <rFont val="Microsoft JhengHei Light"/>
        <family val="2"/>
        <charset val="2"/>
      </rPr>
      <t>4</t>
    </r>
    <r>
      <rPr>
        <sz val="12"/>
        <color rgb="FF000000"/>
        <rFont val="Microsoft JhengHei Light"/>
        <family val="2"/>
      </rPr>
      <t>排放係數（公斤/公噸產品）</t>
    </r>
  </si>
  <si>
    <t xml:space="preserve">矽金屬（Si） </t>
  </si>
  <si>
    <t>矽鐵（矽含量90%）(FeSi 90)</t>
  </si>
  <si>
    <t>矽鐵（矽含量75%）(FeSi 75)</t>
  </si>
  <si>
    <t>矽鐵（矽含量65%）(FeSi 65)</t>
  </si>
  <si>
    <t>註：資料來源為2006 IPCC Guidelines for National Greenhouse Gas Inventories, Volume 3 Industrial Processes and Product Use, chapter 4:Metal Industry Emissions, table4.7。</t>
  </si>
  <si>
    <t>（三）鎂生產</t>
  </si>
  <si>
    <t>原料</t>
  </si>
  <si>
    <r>
      <t>CO</t>
    </r>
    <r>
      <rPr>
        <vertAlign val="subscript"/>
        <sz val="12"/>
        <color rgb="FF000000"/>
        <rFont val="Microsoft JhengHei Light"/>
        <family val="2"/>
        <charset val="2"/>
      </rPr>
      <t>2</t>
    </r>
    <r>
      <rPr>
        <sz val="12"/>
        <color rgb="FF000000"/>
        <rFont val="Microsoft JhengHei Light"/>
        <family val="2"/>
      </rPr>
      <t>排放係數 （公噸 /公噸初級鎂）</t>
    </r>
  </si>
  <si>
    <t>白雲石（Dolomite）</t>
  </si>
  <si>
    <t>菱鎂礦（Magnesite）</t>
  </si>
  <si>
    <t>註：資料來源為2006 IPCC Guidelines for National Greenhouse Gas Inventories, Volume 3 Industrial Processes and Product Use, chapter 4:Metal Industry Emissions, table4.19。</t>
  </si>
  <si>
    <t>程序</t>
  </si>
  <si>
    <r>
      <t>SF</t>
    </r>
    <r>
      <rPr>
        <vertAlign val="subscript"/>
        <sz val="12"/>
        <color rgb="FF000000"/>
        <rFont val="Microsoft JhengHei Light"/>
        <family val="2"/>
        <charset val="2"/>
      </rPr>
      <t>6</t>
    </r>
    <r>
      <rPr>
        <sz val="12"/>
        <color rgb="FF000000"/>
        <rFont val="Microsoft JhengHei Light"/>
        <family val="2"/>
      </rPr>
      <t>排放係數 （公噸 /公噸鎂）</t>
    </r>
  </si>
  <si>
    <t>澆注成型 / 鑄造
（All Casting Processes）</t>
  </si>
  <si>
    <t>註：資料來源為2006 IPCC Guidelines for National Greenhouse Gas Inventories, Volume 3 Industrial Processes and Product Use, chapter 4:Metal Industry Emissions, table4.20。</t>
  </si>
  <si>
    <t>（四）鉛生產</t>
  </si>
  <si>
    <r>
      <t>CO</t>
    </r>
    <r>
      <rPr>
        <vertAlign val="subscript"/>
        <sz val="12"/>
        <color rgb="FF000000"/>
        <rFont val="Microsoft JhengHei Light"/>
        <family val="2"/>
        <charset val="2"/>
      </rPr>
      <t>2</t>
    </r>
    <r>
      <rPr>
        <sz val="12"/>
        <color rgb="FF000000"/>
        <rFont val="Microsoft JhengHei Light"/>
        <family val="2"/>
      </rPr>
      <t>排放係數(公噸/公噸產品)</t>
    </r>
  </si>
  <si>
    <t>密閉鼓風爐</t>
  </si>
  <si>
    <t>直接熔煉</t>
  </si>
  <si>
    <t>次級原料熔煉</t>
  </si>
  <si>
    <t>預設排放係數</t>
  </si>
  <si>
    <t>（From Imperial Smelt Furnace (ISF) Production）</t>
  </si>
  <si>
    <t>（From Direct Smelting (DS) Production）</t>
  </si>
  <si>
    <t>（From Treatment of Secondary Raw Materials）</t>
  </si>
  <si>
    <t>（Default Emission Factor (80% ISF, 20% DS) ）</t>
  </si>
  <si>
    <t>註：資料來源為2006 IPCC Guidelines for National Greenhouse Gas Inventories, Volume 3 Industrial Processes and Product Use, chapter 4:Metal Industry Emissions, table4.21。</t>
  </si>
  <si>
    <t>（五） 鋅生產</t>
  </si>
  <si>
    <r>
      <t>CO</t>
    </r>
    <r>
      <rPr>
        <vertAlign val="subscript"/>
        <sz val="12"/>
        <color rgb="FF000000"/>
        <rFont val="Microsoft JhengHei Light"/>
        <family val="2"/>
        <charset val="2"/>
      </rPr>
      <t>2</t>
    </r>
    <r>
      <rPr>
        <sz val="12"/>
        <color rgb="FF000000"/>
        <rFont val="Microsoft JhengHei Light"/>
        <family val="2"/>
      </rPr>
      <t>排放係數（公噸/公噸鋅）</t>
    </r>
  </si>
  <si>
    <t>旋轉窯 (Waelz Kiln)</t>
  </si>
  <si>
    <t>高溫冶金（密閉鼓風爐）
(Pyrometeallurgical (Imperial Smelting Furnace))</t>
  </si>
  <si>
    <r>
      <t>預設排放係數</t>
    </r>
    <r>
      <rPr>
        <vertAlign val="superscript"/>
        <sz val="12"/>
        <color rgb="FF000000"/>
        <rFont val="Microsoft JhengHei Light"/>
        <family val="2"/>
        <charset val="2"/>
      </rPr>
      <t>註1</t>
    </r>
    <r>
      <rPr>
        <vertAlign val="superscript"/>
        <sz val="12"/>
        <color rgb="FF000000"/>
        <rFont val="Microsoft JhengHei Light"/>
        <family val="2"/>
        <charset val="2"/>
      </rPr>
      <t xml:space="preserve">
</t>
    </r>
    <r>
      <rPr>
        <sz val="12"/>
        <color rgb="FF000000"/>
        <rFont val="Microsoft JhengHei Light"/>
        <family val="2"/>
      </rPr>
      <t>(Default Factor)</t>
    </r>
  </si>
  <si>
    <t>註1：以60%高溫冶金（密閉鼓風爐）與40%旋轉窯之排放係數的權重計算。</t>
  </si>
  <si>
    <t>註2：資料來源為2006 IPCC Guidelines for National Greenhouse Gas Inventories, Volume 3 Industrial Processes and Product Use, chapter 4:Metal Industry Emissions, table4.24。</t>
  </si>
  <si>
    <t>（六） 稀土生產</t>
  </si>
  <si>
    <t>稀土金屬/合金</t>
  </si>
  <si>
    <r>
      <t>CO</t>
    </r>
    <r>
      <rPr>
        <vertAlign val="subscript"/>
        <sz val="12"/>
        <color rgb="FF000000"/>
        <rFont val="Microsoft JhengHei Light"/>
        <family val="2"/>
        <charset val="2"/>
      </rPr>
      <t>2</t>
    </r>
    <r>
      <rPr>
        <sz val="12"/>
        <color rgb="FF000000"/>
        <rFont val="Microsoft JhengHei Light"/>
        <family val="2"/>
      </rPr>
      <t>排放係數 （公噸/公噸稀土金屬）</t>
    </r>
  </si>
  <si>
    <t>Nd金屬及其他稀土金屬/合金
(Nd metal, and all other Rare Earth metals/alloys)</t>
  </si>
  <si>
    <t>註：資料來源為2019 IPCC Guidelines for National Greenhouse Gas Inventories, Volume 3 Industrial Processes and Product Use, chapter 4:Metal Industry Emissions, table4.26。</t>
  </si>
  <si>
    <t>稀土金屬
（Rare Earth Metal）</t>
  </si>
  <si>
    <r>
      <t>CF</t>
    </r>
    <r>
      <rPr>
        <vertAlign val="subscript"/>
        <sz val="12"/>
        <color rgb="FF000000"/>
        <rFont val="Microsoft JhengHei Light"/>
        <family val="2"/>
        <charset val="2"/>
      </rPr>
      <t>4</t>
    </r>
    <r>
      <rPr>
        <sz val="12"/>
        <color rgb="FF000000"/>
        <rFont val="Microsoft JhengHei Light"/>
        <family val="2"/>
      </rPr>
      <t>排放係數
（克/公噸稀土金屬）</t>
    </r>
  </si>
  <si>
    <r>
      <t>C</t>
    </r>
    <r>
      <rPr>
        <vertAlign val="subscript"/>
        <sz val="12"/>
        <color rgb="FF000000"/>
        <rFont val="Microsoft JhengHei Light"/>
        <family val="2"/>
        <charset val="2"/>
      </rPr>
      <t>2</t>
    </r>
    <r>
      <rPr>
        <sz val="12"/>
        <color rgb="FF000000"/>
        <rFont val="Microsoft JhengHei Light"/>
        <family val="2"/>
      </rPr>
      <t>F</t>
    </r>
    <r>
      <rPr>
        <vertAlign val="subscript"/>
        <sz val="12"/>
        <color rgb="FF000000"/>
        <rFont val="Microsoft JhengHei Light"/>
        <family val="2"/>
        <charset val="2"/>
      </rPr>
      <t>6</t>
    </r>
    <r>
      <rPr>
        <sz val="12"/>
        <color rgb="FF000000"/>
        <rFont val="Microsoft JhengHei Light"/>
        <family val="2"/>
      </rPr>
      <t>排放係數
（克/公噸稀土金屬）</t>
    </r>
  </si>
  <si>
    <r>
      <t>C</t>
    </r>
    <r>
      <rPr>
        <vertAlign val="subscript"/>
        <sz val="12"/>
        <color rgb="FF000000"/>
        <rFont val="Microsoft JhengHei Light"/>
        <family val="2"/>
        <charset val="2"/>
      </rPr>
      <t>3</t>
    </r>
    <r>
      <rPr>
        <sz val="12"/>
        <color rgb="FF000000"/>
        <rFont val="Microsoft JhengHei Light"/>
        <family val="2"/>
      </rPr>
      <t>F</t>
    </r>
    <r>
      <rPr>
        <vertAlign val="subscript"/>
        <sz val="12"/>
        <color rgb="FF000000"/>
        <rFont val="Microsoft JhengHei Light"/>
        <family val="2"/>
        <charset val="2"/>
      </rPr>
      <t>8</t>
    </r>
    <r>
      <rPr>
        <sz val="12"/>
        <color rgb="FF000000"/>
        <rFont val="Microsoft JhengHei Light"/>
        <family val="2"/>
      </rPr>
      <t>排放係數
（克C</t>
    </r>
    <r>
      <rPr>
        <vertAlign val="subscript"/>
        <sz val="12"/>
        <color rgb="FF000000"/>
        <rFont val="Microsoft JhengHei Light"/>
        <family val="2"/>
        <charset val="2"/>
      </rPr>
      <t>3</t>
    </r>
    <r>
      <rPr>
        <sz val="12"/>
        <color rgb="FF000000"/>
        <rFont val="Microsoft JhengHei Light"/>
        <family val="2"/>
      </rPr>
      <t>F</t>
    </r>
    <r>
      <rPr>
        <vertAlign val="subscript"/>
        <sz val="12"/>
        <color rgb="FF000000"/>
        <rFont val="Microsoft JhengHei Light"/>
        <family val="2"/>
        <charset val="2"/>
      </rPr>
      <t>8</t>
    </r>
    <r>
      <rPr>
        <sz val="12"/>
        <color rgb="FF000000"/>
        <rFont val="Microsoft JhengHei Light"/>
        <family val="2"/>
      </rPr>
      <t>/公噸稀土金屬）</t>
    </r>
  </si>
  <si>
    <t>稀土鐵合金（鏑鐵等）
(RE-iron alloys(Dy-Fe, etc))</t>
  </si>
  <si>
    <t>其他稀土金屬/合金（Nd、Pr-Nd、La 等）
(Other-RE metals/alloys (Nd, Pr-Nd, La, etc))</t>
  </si>
  <si>
    <t>註：資料來源為2019 IPCC Guidelines for National Greenhouse Gas Inventories,  Volume 3 Industrial Processes and Product Use, chapter 4:Metal Industry Emissions, table4.28。</t>
  </si>
  <si>
    <t>（一）潤滑劑使用</t>
  </si>
  <si>
    <t>二氧化碳排放係數（公噸/兆焦耳）＝20 （公噸 碳/兆焦耳）(ton C/TJ) x使用中氧化因子（ODU，預設為0.2）x 44/12</t>
  </si>
  <si>
    <t>註：資料來源為2006 IPCC Guidelines for National Greenhouse Gas Inventories, Volume 3 Industrial Processes and Product Use, Chapter 5: Non-Energy Products from Fuels and Solvent Use, table5.2、equation 5.2。</t>
  </si>
  <si>
    <t>（二） 石蠟使用</t>
  </si>
  <si>
    <t>註：資料來源為2006 IPCC Guidelines for National Greenhouse Gas Inventories, Volume 3 Industrial Processes and Product Use, Chapter 5: Non-Energy Products from Fuels and Solvent Use, 5.3.3.2、equation 5.4。</t>
  </si>
  <si>
    <t>（一） 以氣體消耗為基礎計算</t>
  </si>
  <si>
    <t>1.Tier 2a之預設排放係數（半導體、顯示器、PV及MEMS適用）</t>
  </si>
  <si>
    <t>未反應排放量計算公式如下：</t>
  </si>
  <si>
    <t>其中， 表氣體i之排放量（單位：公斤）、 表氣體i之消耗使用量（單位：公斤）、 表氣體i之利用率（單位：%）（預設參數，見表1）、 表氣體i之排放量總削減率（單位：%）。</t>
  </si>
  <si>
    <t xml:space="preserve">
其中， 表氣體i之製程設備配備適合氣體 i 排放控制技術的排放比例（單位：%）、 表氣體i之製程設備配備適合氣體 i 排放控制技術的削減率（單位：%），即DRE （預設參數，見表2、3）、 表控制技術之平均正常操作的比例。</t>
  </si>
  <si>
    <r>
      <t>其中，na</t>
    </r>
    <r>
      <rPr>
        <vertAlign val="subscript"/>
        <sz val="12"/>
        <color rgb="FF000000"/>
        <rFont val="Microsoft JhengHei Light"/>
        <family val="2"/>
        <charset val="2"/>
      </rPr>
      <t>i</t>
    </r>
    <r>
      <rPr>
        <sz val="12"/>
        <color rgb="FF000000"/>
        <rFont val="Microsoft JhengHei Light"/>
        <family val="2"/>
      </rPr>
      <t xml:space="preserve"> 表於IPC或 ITC中配備適合控制氣體 i 排放技術之設備數量、ma</t>
    </r>
    <r>
      <rPr>
        <vertAlign val="subscript"/>
        <sz val="12"/>
        <color rgb="FF000000"/>
        <rFont val="Microsoft JhengHei Light"/>
        <family val="2"/>
        <charset val="2"/>
      </rPr>
      <t>i</t>
    </r>
    <r>
      <rPr>
        <sz val="12"/>
        <color rgb="FF000000"/>
        <rFont val="Microsoft JhengHei Light"/>
        <family val="2"/>
      </rPr>
      <t xml:space="preserve"> 表於蝕刻或晶圓清潔製程中配備適合控制氣體 i 排放技術之設備數量、n</t>
    </r>
    <r>
      <rPr>
        <vertAlign val="subscript"/>
        <sz val="12"/>
        <color rgb="FF000000"/>
        <rFont val="Microsoft JhengHei Light"/>
        <family val="2"/>
        <charset val="2"/>
      </rPr>
      <t>i</t>
    </r>
    <r>
      <rPr>
        <sz val="12"/>
        <color rgb="FF000000"/>
        <rFont val="Microsoft JhengHei Light"/>
        <family val="2"/>
      </rPr>
      <t xml:space="preserve"> 表於IPC或 ITC中使用氣體 i的設備總數、m</t>
    </r>
    <r>
      <rPr>
        <vertAlign val="subscript"/>
        <sz val="12"/>
        <color rgb="FF000000"/>
        <rFont val="Microsoft JhengHei Light"/>
        <family val="2"/>
        <charset val="2"/>
      </rPr>
      <t>i</t>
    </r>
    <r>
      <rPr>
        <sz val="12"/>
        <color rgb="FF000000"/>
        <rFont val="Microsoft JhengHei Light"/>
        <family val="2"/>
      </rPr>
      <t>表於蝕刻或晶圓清潔製程中使用氣體 i的設備總數、γ</t>
    </r>
    <r>
      <rPr>
        <vertAlign val="subscript"/>
        <sz val="12"/>
        <color rgb="FF000000"/>
        <rFont val="Microsoft JhengHei Light"/>
        <family val="2"/>
        <charset val="2"/>
      </rPr>
      <t>i</t>
    </r>
    <r>
      <rPr>
        <sz val="12"/>
        <color rgb="FF000000"/>
        <rFont val="Microsoft JhengHei Light"/>
        <family val="2"/>
      </rPr>
      <t>是反映於IPC或 ITC中使用氣體 i未受控制的排放比率（預設參數，見表4）。</t>
    </r>
  </si>
  <si>
    <r>
      <t>其中，Td</t>
    </r>
    <r>
      <rPr>
        <vertAlign val="subscript"/>
        <sz val="12"/>
        <color rgb="FF000000"/>
        <rFont val="Microsoft JhengHei Light"/>
        <family val="2"/>
        <charset val="2"/>
      </rPr>
      <t>n</t>
    </r>
    <r>
      <rPr>
        <sz val="12"/>
        <color rgb="FF000000"/>
        <rFont val="Microsoft JhengHei Light"/>
        <family val="2"/>
      </rPr>
      <t xml:space="preserve"> 表配備排放控制技術 n 於製程設備中整年度未開啟的總時間（單位：分鐘）、TT</t>
    </r>
    <r>
      <rPr>
        <vertAlign val="subscript"/>
        <sz val="12"/>
        <color rgb="FF000000"/>
        <rFont val="Microsoft JhengHei Light"/>
        <family val="2"/>
        <charset val="2"/>
      </rPr>
      <t>n</t>
    </r>
    <r>
      <rPr>
        <sz val="12"/>
        <color rgb="FF000000"/>
        <rFont val="Microsoft JhengHei Light"/>
        <family val="2"/>
      </rPr>
      <t>表配備排放控制技術 n 之於製程設備整年度開啟的總時間（單位：分鐘）。</t>
    </r>
  </si>
  <si>
    <t>註1：倘事業無法區分不同尺寸基板間的消耗氣體其使用量時，方得使用Tier 2a方法。</t>
  </si>
  <si>
    <t>註2：資料來源為2019 IPCC Guidelines for National Greenhouse Gas Inventories, Volume 3 Industrial Processes and Product Use, Chapter 6: Electronics Industry Emissions, equation  6.5、6.8、6.10、6.12。</t>
  </si>
  <si>
    <t>使用氣體轉化生成副產品的排放量計算公式如下：</t>
  </si>
  <si>
    <t>其中， 表氣體i轉化生成副產品k之排放量（單位：公斤）、 表氣體i之消耗使用量（單位：公斤）、 表氣體i轉化生成副產品k之排放因子（單位：%）（預設參數，見表1）、 表氣體k之排放量總削減率（單位：%）。</t>
  </si>
  <si>
    <t>其中， 表製程設備配備適合控制氣體 k 排放技術的排放比例（單位：%）、 表製程設備配備適合控制氣體 k 排放技術的削減率（單位：%)，即DRE（預設參數，見表2、3）、 表控制技術之平均正常操作的比例。</t>
  </si>
  <si>
    <r>
      <t>其中，na</t>
    </r>
    <r>
      <rPr>
        <vertAlign val="subscript"/>
        <sz val="12"/>
        <color rgb="FF000000"/>
        <rFont val="Microsoft JhengHei Light"/>
        <family val="2"/>
        <charset val="2"/>
      </rPr>
      <t>k</t>
    </r>
    <r>
      <rPr>
        <sz val="12"/>
        <color rgb="FF000000"/>
        <rFont val="Microsoft JhengHei Light"/>
        <family val="2"/>
      </rPr>
      <t xml:space="preserve"> 表於IPC或 ITC中配備適合控制氣體 k 排放技術之設備數量、ma</t>
    </r>
    <r>
      <rPr>
        <vertAlign val="subscript"/>
        <sz val="12"/>
        <color rgb="FF000000"/>
        <rFont val="Microsoft JhengHei Light"/>
        <family val="2"/>
        <charset val="2"/>
      </rPr>
      <t>k</t>
    </r>
    <r>
      <rPr>
        <sz val="12"/>
        <color rgb="FF000000"/>
        <rFont val="Microsoft JhengHei Light"/>
        <family val="2"/>
      </rPr>
      <t xml:space="preserve"> 表於蝕刻或晶圓清潔製程中配備適合控制氣體k 排放技術之設備數量、n</t>
    </r>
    <r>
      <rPr>
        <vertAlign val="subscript"/>
        <sz val="12"/>
        <color rgb="FF000000"/>
        <rFont val="Microsoft JhengHei Light"/>
        <family val="2"/>
        <charset val="2"/>
      </rPr>
      <t>k</t>
    </r>
    <r>
      <rPr>
        <sz val="12"/>
        <color rgb="FF000000"/>
        <rFont val="Microsoft JhengHei Light"/>
        <family val="2"/>
      </rPr>
      <t>表於IPC或 ITC中生成氣體 k的設備總數、m</t>
    </r>
    <r>
      <rPr>
        <vertAlign val="subscript"/>
        <sz val="12"/>
        <color rgb="FF000000"/>
        <rFont val="Microsoft JhengHei Light"/>
        <family val="2"/>
        <charset val="2"/>
      </rPr>
      <t>k</t>
    </r>
    <r>
      <rPr>
        <sz val="12"/>
        <color rgb="FF000000"/>
        <rFont val="Microsoft JhengHei Light"/>
        <family val="2"/>
      </rPr>
      <t>表於蝕刻或晶圓清潔製程中生成氣體k的設備總數、γ</t>
    </r>
    <r>
      <rPr>
        <vertAlign val="subscript"/>
        <sz val="12"/>
        <color rgb="FF000000"/>
        <rFont val="Microsoft JhengHei Light"/>
        <family val="2"/>
        <charset val="2"/>
      </rPr>
      <t>k</t>
    </r>
    <r>
      <rPr>
        <sz val="12"/>
        <color rgb="FF000000"/>
        <rFont val="Microsoft JhengHei Light"/>
        <family val="2"/>
      </rPr>
      <t>是反映於IPC或 ITC中生成氣體k未受控制的排放比率（預設參數，見表4）。</t>
    </r>
  </si>
  <si>
    <t>註：2019 IPCC Guidelines for National Greenhouse Gas Inventories, Volume 3 Industrial Processes and Product Use, Chapter 6: Electronics Industry Emissions, equation  6.6、6.9、6.11。</t>
  </si>
  <si>
    <r>
      <t>當 RPC 製程中使用 NF</t>
    </r>
    <r>
      <rPr>
        <vertAlign val="subscript"/>
        <sz val="12"/>
        <color rgb="FF000000"/>
        <rFont val="Microsoft JhengHei Light"/>
        <family val="2"/>
        <charset val="2"/>
      </rPr>
      <t>3</t>
    </r>
    <r>
      <rPr>
        <sz val="12"/>
        <color rgb="FF000000"/>
        <rFont val="Microsoft JhengHei Light"/>
        <family val="2"/>
      </rPr>
      <t xml:space="preserve"> 或使用 F</t>
    </r>
    <r>
      <rPr>
        <vertAlign val="subscript"/>
        <sz val="12"/>
        <color rgb="FF000000"/>
        <rFont val="Microsoft JhengHei Light"/>
        <family val="2"/>
        <charset val="2"/>
      </rPr>
      <t>2</t>
    </r>
    <r>
      <rPr>
        <sz val="12"/>
        <color rgb="FF000000"/>
        <rFont val="Microsoft JhengHei Light"/>
        <family val="2"/>
      </rPr>
      <t xml:space="preserve"> 作為輸入氣體，並使用碳氫化合物的燃燒排放控制技術時，碳氫化合物與 F</t>
    </r>
    <r>
      <rPr>
        <vertAlign val="subscript"/>
        <sz val="12"/>
        <color rgb="FF000000"/>
        <rFont val="Microsoft JhengHei Light"/>
        <family val="2"/>
        <charset val="2"/>
      </rPr>
      <t>2</t>
    </r>
    <r>
      <rPr>
        <sz val="12"/>
        <color rgb="FF000000"/>
        <rFont val="Microsoft JhengHei Light"/>
        <family val="2"/>
      </rPr>
      <t>（包括 RPC 製程中 NF</t>
    </r>
    <r>
      <rPr>
        <vertAlign val="subscript"/>
        <sz val="12"/>
        <color rgb="FF000000"/>
        <rFont val="Microsoft JhengHei Light"/>
        <family val="2"/>
        <charset val="2"/>
      </rPr>
      <t>3</t>
    </r>
    <r>
      <rPr>
        <sz val="12"/>
        <color rgb="FF000000"/>
        <rFont val="Microsoft JhengHei Light"/>
        <family val="2"/>
      </rPr>
      <t xml:space="preserve"> 分解產生的 F</t>
    </r>
    <r>
      <rPr>
        <vertAlign val="subscript"/>
        <sz val="12"/>
        <color rgb="FF000000"/>
        <rFont val="Microsoft JhengHei Light"/>
        <family val="2"/>
        <charset val="2"/>
      </rPr>
      <t>2</t>
    </r>
    <r>
      <rPr>
        <sz val="12"/>
        <color rgb="FF000000"/>
        <rFont val="Microsoft JhengHei Light"/>
        <family val="2"/>
      </rPr>
      <t>）直接反應，可能會出現CF</t>
    </r>
    <r>
      <rPr>
        <vertAlign val="subscript"/>
        <sz val="12"/>
        <color rgb="FF000000"/>
        <rFont val="Microsoft JhengHei Light"/>
        <family val="2"/>
        <charset val="2"/>
      </rPr>
      <t>4</t>
    </r>
    <r>
      <rPr>
        <sz val="12"/>
        <color rgb="FF000000"/>
        <rFont val="Microsoft JhengHei Light"/>
        <family val="2"/>
      </rPr>
      <t>形式，須考量以下之算式。</t>
    </r>
  </si>
  <si>
    <r>
      <t>其中，當排放控制設備製造商未證明碳氫化合物燃料不會與氟化物直接反應時，基於碳氫化合物的燃燒排放控制系統產生的 CF</t>
    </r>
    <r>
      <rPr>
        <vertAlign val="subscript"/>
        <sz val="12"/>
        <color rgb="FF000000"/>
        <rFont val="Microsoft JhengHei Light"/>
        <family val="2"/>
        <charset val="2"/>
      </rPr>
      <t>4</t>
    </r>
    <r>
      <rPr>
        <sz val="12"/>
        <color rgb="FF000000"/>
        <rFont val="Microsoft JhengHei Light"/>
        <family val="2"/>
      </rPr>
      <t xml:space="preserve"> 排放量為EAB</t>
    </r>
    <r>
      <rPr>
        <vertAlign val="subscript"/>
        <sz val="12"/>
        <color rgb="FF000000"/>
        <rFont val="Microsoft JhengHei Light"/>
        <family val="2"/>
        <charset val="2"/>
      </rPr>
      <t>i,CF4</t>
    </r>
    <r>
      <rPr>
        <sz val="12"/>
        <color rgb="FF000000"/>
        <rFont val="Microsoft JhengHei Light"/>
        <family val="2"/>
      </rPr>
      <t>；C</t>
    </r>
    <r>
      <rPr>
        <vertAlign val="subscript"/>
        <sz val="12"/>
        <color rgb="FF000000"/>
        <rFont val="Microsoft JhengHei Light"/>
        <family val="2"/>
        <charset val="2"/>
      </rPr>
      <t>i</t>
    </r>
    <r>
      <rPr>
        <sz val="12"/>
        <color rgb="FF000000"/>
        <rFont val="Microsoft JhengHei Light"/>
        <family val="2"/>
      </rPr>
      <t>表氣體i之消耗使用量（單位：公斤），僅 RPC 過程中使用的 NF</t>
    </r>
    <r>
      <rPr>
        <vertAlign val="subscript"/>
        <sz val="12"/>
        <color rgb="FF000000"/>
        <rFont val="Microsoft JhengHei Light"/>
        <family val="2"/>
        <charset val="2"/>
      </rPr>
      <t>3</t>
    </r>
    <r>
      <rPr>
        <sz val="12"/>
        <color rgb="FF000000"/>
        <rFont val="Microsoft JhengHei Light"/>
        <family val="2"/>
      </rPr>
      <t xml:space="preserve"> 或用於上式 的 F</t>
    </r>
    <r>
      <rPr>
        <vertAlign val="subscript"/>
        <sz val="12"/>
        <color rgb="FF000000"/>
        <rFont val="Microsoft JhengHei Light"/>
        <family val="2"/>
        <charset val="2"/>
      </rPr>
      <t>2</t>
    </r>
    <r>
      <rPr>
        <sz val="12"/>
        <color rgb="FF000000"/>
        <rFont val="Microsoft JhengHei Light"/>
        <family val="2"/>
      </rPr>
      <t>；U</t>
    </r>
    <r>
      <rPr>
        <vertAlign val="subscript"/>
        <sz val="12"/>
        <color rgb="FF000000"/>
        <rFont val="Microsoft JhengHei Light"/>
        <family val="2"/>
        <charset val="2"/>
      </rPr>
      <t>i</t>
    </r>
    <r>
      <rPr>
        <sz val="12"/>
        <color rgb="FF000000"/>
        <rFont val="Microsoft JhengHei Light"/>
        <family val="2"/>
      </rPr>
      <t>表氣體i之利用率（單位：%）（預設參數，見表1）；η：排放控制系統中連接至經認證不會在排放控制系統內形成 CF</t>
    </r>
    <r>
      <rPr>
        <vertAlign val="subscript"/>
        <sz val="12"/>
        <color rgb="FF000000"/>
        <rFont val="Microsoft JhengHei Light"/>
        <family val="2"/>
        <charset val="2"/>
      </rPr>
      <t>4</t>
    </r>
    <r>
      <rPr>
        <sz val="12"/>
        <color rgb="FF000000"/>
        <rFont val="Microsoft JhengHei Light"/>
        <family val="2"/>
      </rPr>
      <t xml:space="preserve"> 個數與連接至設施中排放控制系統總數的比率；AB</t>
    </r>
    <r>
      <rPr>
        <vertAlign val="subscript"/>
        <sz val="12"/>
        <color rgb="FF000000"/>
        <rFont val="Microsoft JhengHei Light"/>
        <family val="2"/>
        <charset val="2"/>
      </rPr>
      <t>i,CF4</t>
    </r>
    <r>
      <rPr>
        <sz val="12"/>
        <color rgb="FF000000"/>
        <rFont val="Microsoft JhengHei Light"/>
        <family val="2"/>
      </rPr>
      <t>：如果排放控制設備供應商能夠證明從 F</t>
    </r>
    <r>
      <rPr>
        <vertAlign val="subscript"/>
        <sz val="12"/>
        <color rgb="FF000000"/>
        <rFont val="Microsoft JhengHei Light"/>
        <family val="2"/>
        <charset val="2"/>
      </rPr>
      <t>2</t>
    </r>
    <r>
      <rPr>
        <sz val="12"/>
        <color rgb="FF000000"/>
        <rFont val="Microsoft JhengHei Light"/>
        <family val="2"/>
      </rPr>
      <t xml:space="preserve"> 到 CF</t>
    </r>
    <r>
      <rPr>
        <vertAlign val="subscript"/>
        <sz val="12"/>
        <color rgb="FF000000"/>
        <rFont val="Microsoft JhengHei Light"/>
        <family val="2"/>
        <charset val="2"/>
      </rPr>
      <t>4</t>
    </r>
    <r>
      <rPr>
        <sz val="12"/>
        <color rgb="FF000000"/>
        <rFont val="Microsoft JhengHei Light"/>
        <family val="2"/>
      </rPr>
      <t xml:space="preserve"> 或從 NF</t>
    </r>
    <r>
      <rPr>
        <vertAlign val="subscript"/>
        <sz val="12"/>
        <color rgb="FF000000"/>
        <rFont val="Microsoft JhengHei Light"/>
        <family val="2"/>
        <charset val="2"/>
      </rPr>
      <t>3</t>
    </r>
    <r>
      <rPr>
        <sz val="12"/>
        <color rgb="FF000000"/>
        <rFont val="Microsoft JhengHei Light"/>
        <family val="2"/>
      </rPr>
      <t xml:space="preserve"> 到 CF</t>
    </r>
    <r>
      <rPr>
        <vertAlign val="subscript"/>
        <sz val="12"/>
        <color rgb="FF000000"/>
        <rFont val="Microsoft JhengHei Light"/>
        <family val="2"/>
        <charset val="2"/>
      </rPr>
      <t>4</t>
    </r>
    <r>
      <rPr>
        <sz val="12"/>
        <color rgb="FF000000"/>
        <rFont val="Microsoft JhengHei Light"/>
        <family val="2"/>
      </rPr>
      <t xml:space="preserve"> 的轉換率 &lt;0.1%，則AB</t>
    </r>
    <r>
      <rPr>
        <vertAlign val="subscript"/>
        <sz val="12"/>
        <color rgb="FF000000"/>
        <rFont val="Microsoft JhengHei Light"/>
        <family val="2"/>
        <charset val="2"/>
      </rPr>
      <t>i,CF4</t>
    </r>
    <r>
      <rPr>
        <sz val="12"/>
        <color rgb="FF000000"/>
        <rFont val="Microsoft JhengHei Light"/>
        <family val="2"/>
      </rPr>
      <t>設定為零； 否則，應使用預設值 AB</t>
    </r>
    <r>
      <rPr>
        <vertAlign val="subscript"/>
        <sz val="12"/>
        <color rgb="FF000000"/>
        <rFont val="Microsoft JhengHei Light"/>
        <family val="2"/>
        <charset val="2"/>
      </rPr>
      <t>NF3,CF4</t>
    </r>
    <r>
      <rPr>
        <sz val="12"/>
        <color rgb="FF000000"/>
        <rFont val="Microsoft JhengHei Light"/>
        <family val="2"/>
      </rPr>
      <t xml:space="preserve"> = 0.093 或 AB</t>
    </r>
    <r>
      <rPr>
        <vertAlign val="subscript"/>
        <sz val="12"/>
        <color rgb="FF000000"/>
        <rFont val="Microsoft JhengHei Light"/>
        <family val="2"/>
        <charset val="2"/>
      </rPr>
      <t>F2,CF4</t>
    </r>
    <r>
      <rPr>
        <sz val="12"/>
        <color rgb="FF000000"/>
        <rFont val="Microsoft JhengHei Light"/>
        <family val="2"/>
      </rPr>
      <t xml:space="preserve"> = 0.116。</t>
    </r>
  </si>
  <si>
    <t>註：資料來源為2019 IPCC Guidelines for National Greenhouse Gas Inventories, Volume 3 Industrial Processes and Product Use, Chapter 6: Electronics Industry Emissions, equation  6.7。</t>
  </si>
  <si>
    <t>表1、Tier 2a氣體之利用率及其轉化生成副產品之排放因子</t>
  </si>
  <si>
    <t xml:space="preserve">                                  使用氣體
排放因子</t>
  </si>
  <si>
    <r>
      <t>CF</t>
    </r>
    <r>
      <rPr>
        <vertAlign val="subscript"/>
        <sz val="11"/>
        <color rgb="FF000000"/>
        <rFont val="Microsoft JhengHei Light"/>
        <family val="2"/>
        <charset val="2"/>
      </rPr>
      <t>4</t>
    </r>
  </si>
  <si>
    <r>
      <t>C</t>
    </r>
    <r>
      <rPr>
        <vertAlign val="subscript"/>
        <sz val="11"/>
        <color rgb="FF000000"/>
        <rFont val="Microsoft JhengHei Light"/>
        <family val="2"/>
        <charset val="2"/>
      </rPr>
      <t>2</t>
    </r>
    <r>
      <rPr>
        <sz val="11"/>
        <color rgb="FF000000"/>
        <rFont val="Microsoft JhengHei Light"/>
        <family val="2"/>
      </rPr>
      <t>F</t>
    </r>
    <r>
      <rPr>
        <vertAlign val="subscript"/>
        <sz val="11"/>
        <color rgb="FF000000"/>
        <rFont val="Microsoft JhengHei Light"/>
        <family val="2"/>
        <charset val="2"/>
      </rPr>
      <t>6</t>
    </r>
  </si>
  <si>
    <r>
      <t>C</t>
    </r>
    <r>
      <rPr>
        <vertAlign val="subscript"/>
        <sz val="11"/>
        <color rgb="FF000000"/>
        <rFont val="Microsoft JhengHei Light"/>
        <family val="2"/>
        <charset val="2"/>
      </rPr>
      <t>3</t>
    </r>
    <r>
      <rPr>
        <sz val="11"/>
        <color rgb="FF000000"/>
        <rFont val="Microsoft JhengHei Light"/>
        <family val="2"/>
      </rPr>
      <t>F</t>
    </r>
    <r>
      <rPr>
        <vertAlign val="subscript"/>
        <sz val="11"/>
        <color rgb="FF000000"/>
        <rFont val="Microsoft JhengHei Light"/>
        <family val="2"/>
        <charset val="2"/>
      </rPr>
      <t>8</t>
    </r>
  </si>
  <si>
    <r>
      <t>C</t>
    </r>
    <r>
      <rPr>
        <vertAlign val="subscript"/>
        <sz val="10"/>
        <color rgb="FF000000"/>
        <rFont val="Microsoft JhengHei Light"/>
        <family val="2"/>
        <charset val="2"/>
      </rPr>
      <t>3</t>
    </r>
    <r>
      <rPr>
        <sz val="10"/>
        <color rgb="FF000000"/>
        <rFont val="Microsoft JhengHei Light"/>
        <family val="2"/>
      </rPr>
      <t>F</t>
    </r>
    <r>
      <rPr>
        <vertAlign val="subscript"/>
        <sz val="10"/>
        <color rgb="FF000000"/>
        <rFont val="Microsoft JhengHei Light"/>
        <family val="2"/>
        <charset val="2"/>
      </rPr>
      <t>8</t>
    </r>
    <r>
      <rPr>
        <vertAlign val="subscript"/>
        <sz val="10"/>
        <color rgb="FF000000"/>
        <rFont val="Microsoft JhengHei Light"/>
        <family val="2"/>
        <charset val="2"/>
      </rPr>
      <t xml:space="preserve">
</t>
    </r>
    <r>
      <rPr>
        <sz val="10"/>
        <color rgb="FF000000"/>
        <rFont val="Microsoft JhengHei Light"/>
        <family val="2"/>
      </rPr>
      <t>Remote</t>
    </r>
  </si>
  <si>
    <r>
      <t>C</t>
    </r>
    <r>
      <rPr>
        <vertAlign val="subscript"/>
        <sz val="11"/>
        <color rgb="FF000000"/>
        <rFont val="Microsoft JhengHei Light"/>
        <family val="2"/>
        <charset val="2"/>
      </rPr>
      <t>4</t>
    </r>
    <r>
      <rPr>
        <sz val="11"/>
        <color rgb="FF000000"/>
        <rFont val="Microsoft JhengHei Light"/>
        <family val="2"/>
      </rPr>
      <t>F</t>
    </r>
    <r>
      <rPr>
        <vertAlign val="subscript"/>
        <sz val="11"/>
        <color rgb="FF000000"/>
        <rFont val="Microsoft JhengHei Light"/>
        <family val="2"/>
        <charset val="2"/>
      </rPr>
      <t>6</t>
    </r>
  </si>
  <si>
    <r>
      <t>c-C</t>
    </r>
    <r>
      <rPr>
        <vertAlign val="subscript"/>
        <sz val="11"/>
        <color rgb="FF000000"/>
        <rFont val="Microsoft JhengHei Light"/>
        <family val="2"/>
        <charset val="2"/>
      </rPr>
      <t>4</t>
    </r>
    <r>
      <rPr>
        <sz val="11"/>
        <color rgb="FF000000"/>
        <rFont val="Microsoft JhengHei Light"/>
        <family val="2"/>
      </rPr>
      <t>F</t>
    </r>
    <r>
      <rPr>
        <vertAlign val="subscript"/>
        <sz val="11"/>
        <color rgb="FF000000"/>
        <rFont val="Microsoft JhengHei Light"/>
        <family val="2"/>
        <charset val="2"/>
      </rPr>
      <t>8</t>
    </r>
  </si>
  <si>
    <r>
      <t>C</t>
    </r>
    <r>
      <rPr>
        <vertAlign val="subscript"/>
        <sz val="9"/>
        <color rgb="FF000000"/>
        <rFont val="Microsoft JhengHei Light"/>
        <family val="2"/>
        <charset val="2"/>
      </rPr>
      <t>4</t>
    </r>
    <r>
      <rPr>
        <sz val="9"/>
        <color rgb="FF000000"/>
        <rFont val="Microsoft JhengHei Light"/>
        <family val="2"/>
      </rPr>
      <t>F</t>
    </r>
    <r>
      <rPr>
        <vertAlign val="subscript"/>
        <sz val="9"/>
        <color rgb="FF000000"/>
        <rFont val="Microsoft JhengHei Light"/>
        <family val="2"/>
        <charset val="2"/>
      </rPr>
      <t>8</t>
    </r>
    <r>
      <rPr>
        <sz val="9"/>
        <color rgb="FF000000"/>
        <rFont val="Microsoft JhengHei Light"/>
        <family val="2"/>
      </rPr>
      <t>O</t>
    </r>
  </si>
  <si>
    <r>
      <t>C</t>
    </r>
    <r>
      <rPr>
        <vertAlign val="subscript"/>
        <sz val="11"/>
        <color rgb="FF000000"/>
        <rFont val="Microsoft JhengHei Light"/>
        <family val="2"/>
        <charset val="2"/>
      </rPr>
      <t>5</t>
    </r>
    <r>
      <rPr>
        <sz val="11"/>
        <color rgb="FF000000"/>
        <rFont val="Microsoft JhengHei Light"/>
        <family val="2"/>
      </rPr>
      <t>F</t>
    </r>
    <r>
      <rPr>
        <vertAlign val="subscript"/>
        <sz val="11"/>
        <color rgb="FF000000"/>
        <rFont val="Microsoft JhengHei Light"/>
        <family val="2"/>
        <charset val="2"/>
      </rPr>
      <t>8</t>
    </r>
  </si>
  <si>
    <r>
      <t>CHF</t>
    </r>
    <r>
      <rPr>
        <vertAlign val="subscript"/>
        <sz val="10"/>
        <color rgb="FF000000"/>
        <rFont val="Microsoft JhengHei Light"/>
        <family val="2"/>
        <charset val="2"/>
      </rPr>
      <t>3</t>
    </r>
  </si>
  <si>
    <r>
      <t>CH</t>
    </r>
    <r>
      <rPr>
        <vertAlign val="subscript"/>
        <sz val="10"/>
        <color rgb="FF000000"/>
        <rFont val="Microsoft JhengHei Light"/>
        <family val="2"/>
        <charset val="2"/>
      </rPr>
      <t>2</t>
    </r>
    <r>
      <rPr>
        <sz val="10"/>
        <color rgb="FF000000"/>
        <rFont val="Microsoft JhengHei Light"/>
        <family val="2"/>
      </rPr>
      <t>F</t>
    </r>
    <r>
      <rPr>
        <vertAlign val="subscript"/>
        <sz val="10"/>
        <color rgb="FF000000"/>
        <rFont val="Microsoft JhengHei Light"/>
        <family val="2"/>
        <charset val="2"/>
      </rPr>
      <t>2</t>
    </r>
  </si>
  <si>
    <r>
      <t>CH</t>
    </r>
    <r>
      <rPr>
        <vertAlign val="subscript"/>
        <sz val="10"/>
        <color rgb="FF000000"/>
        <rFont val="Microsoft JhengHei Light"/>
        <family val="2"/>
        <charset val="2"/>
      </rPr>
      <t>3</t>
    </r>
    <r>
      <rPr>
        <sz val="10"/>
        <color rgb="FF000000"/>
        <rFont val="Microsoft JhengHei Light"/>
        <family val="2"/>
      </rPr>
      <t>F</t>
    </r>
  </si>
  <si>
    <r>
      <t>C</t>
    </r>
    <r>
      <rPr>
        <vertAlign val="subscript"/>
        <sz val="9"/>
        <color rgb="FF000000"/>
        <rFont val="Microsoft JhengHei Light"/>
        <family val="2"/>
        <charset val="2"/>
      </rPr>
      <t>2</t>
    </r>
    <r>
      <rPr>
        <sz val="9"/>
        <color rgb="FF000000"/>
        <rFont val="Microsoft JhengHei Light"/>
        <family val="2"/>
      </rPr>
      <t>HF</t>
    </r>
    <r>
      <rPr>
        <vertAlign val="subscript"/>
        <sz val="9"/>
        <color rgb="FF000000"/>
        <rFont val="Microsoft JhengHei Light"/>
        <family val="2"/>
        <charset val="2"/>
      </rPr>
      <t>5</t>
    </r>
  </si>
  <si>
    <r>
      <t>NF</t>
    </r>
    <r>
      <rPr>
        <vertAlign val="subscript"/>
        <sz val="10"/>
        <color rgb="FF000000"/>
        <rFont val="Microsoft JhengHei Light"/>
        <family val="2"/>
        <charset val="2"/>
      </rPr>
      <t>3</t>
    </r>
    <r>
      <rPr>
        <vertAlign val="subscript"/>
        <sz val="10"/>
        <color rgb="FF000000"/>
        <rFont val="Microsoft JhengHei Light"/>
        <family val="2"/>
        <charset val="2"/>
      </rPr>
      <t xml:space="preserve">
</t>
    </r>
    <r>
      <rPr>
        <sz val="10"/>
        <color rgb="FF000000"/>
        <rFont val="Microsoft JhengHei Light"/>
        <family val="2"/>
      </rPr>
      <t>Remote</t>
    </r>
  </si>
  <si>
    <r>
      <t>NF</t>
    </r>
    <r>
      <rPr>
        <vertAlign val="subscript"/>
        <sz val="10"/>
        <color rgb="FF000000"/>
        <rFont val="Microsoft JhengHei Light"/>
        <family val="2"/>
        <charset val="2"/>
      </rPr>
      <t>3</t>
    </r>
  </si>
  <si>
    <r>
      <t>SF</t>
    </r>
    <r>
      <rPr>
        <vertAlign val="subscript"/>
        <sz val="10"/>
        <color rgb="FF000000"/>
        <rFont val="Microsoft JhengHei Light"/>
        <family val="2"/>
        <charset val="2"/>
      </rPr>
      <t>6</t>
    </r>
  </si>
  <si>
    <r>
      <t>N</t>
    </r>
    <r>
      <rPr>
        <vertAlign val="subscript"/>
        <sz val="9"/>
        <color rgb="FF000000"/>
        <rFont val="Microsoft JhengHei Light"/>
        <family val="2"/>
        <charset val="2"/>
      </rPr>
      <t>2</t>
    </r>
    <r>
      <rPr>
        <sz val="9"/>
        <color rgb="FF000000"/>
        <rFont val="Microsoft JhengHei Light"/>
        <family val="2"/>
      </rPr>
      <t>O
TFD</t>
    </r>
  </si>
  <si>
    <r>
      <t>N</t>
    </r>
    <r>
      <rPr>
        <vertAlign val="subscript"/>
        <sz val="9"/>
        <color rgb="FF000000"/>
        <rFont val="Microsoft JhengHei Light"/>
        <family val="2"/>
        <charset val="2"/>
      </rPr>
      <t>2</t>
    </r>
    <r>
      <rPr>
        <sz val="9"/>
        <color rgb="FF000000"/>
        <rFont val="Microsoft JhengHei Light"/>
        <family val="2"/>
      </rPr>
      <t>O 
other</t>
    </r>
  </si>
  <si>
    <r>
      <t>COF</t>
    </r>
    <r>
      <rPr>
        <vertAlign val="subscript"/>
        <sz val="9"/>
        <color rgb="FF000000"/>
        <rFont val="Microsoft JhengHei Light"/>
        <family val="2"/>
        <charset val="2"/>
      </rPr>
      <t>2</t>
    </r>
  </si>
  <si>
    <r>
      <t>F</t>
    </r>
    <r>
      <rPr>
        <vertAlign val="subscript"/>
        <sz val="11"/>
        <color rgb="FF000000"/>
        <rFont val="Microsoft JhengHei Light"/>
        <family val="2"/>
        <charset val="2"/>
      </rPr>
      <t>2</t>
    </r>
  </si>
  <si>
    <t>(1-Ui)</t>
  </si>
  <si>
    <t>NM</t>
  </si>
  <si>
    <r>
      <t>B</t>
    </r>
    <r>
      <rPr>
        <vertAlign val="subscript"/>
        <sz val="12"/>
        <color rgb="FF000000"/>
        <rFont val="Microsoft JhengHei Light"/>
        <family val="2"/>
        <charset val="2"/>
      </rPr>
      <t>CF</t>
    </r>
    <r>
      <rPr>
        <vertAlign val="subscript"/>
        <sz val="10"/>
        <color rgb="FF000000"/>
        <rFont val="Microsoft JhengHei Light"/>
        <family val="2"/>
        <charset val="2"/>
      </rPr>
      <t>4</t>
    </r>
  </si>
  <si>
    <r>
      <t>B</t>
    </r>
    <r>
      <rPr>
        <vertAlign val="subscript"/>
        <sz val="12"/>
        <color rgb="FF000000"/>
        <rFont val="Microsoft JhengHei Light"/>
        <family val="2"/>
        <charset val="2"/>
      </rPr>
      <t>C</t>
    </r>
    <r>
      <rPr>
        <vertAlign val="subscript"/>
        <sz val="10"/>
        <color rgb="FF000000"/>
        <rFont val="Microsoft JhengHei Light"/>
        <family val="2"/>
        <charset val="2"/>
      </rPr>
      <t>2</t>
    </r>
    <r>
      <rPr>
        <vertAlign val="subscript"/>
        <sz val="12"/>
        <color rgb="FF000000"/>
        <rFont val="Microsoft JhengHei Light"/>
        <family val="2"/>
        <charset val="2"/>
      </rPr>
      <t>F</t>
    </r>
    <r>
      <rPr>
        <vertAlign val="subscript"/>
        <sz val="10"/>
        <color rgb="FF000000"/>
        <rFont val="Microsoft JhengHei Light"/>
        <family val="2"/>
        <charset val="2"/>
      </rPr>
      <t>6</t>
    </r>
  </si>
  <si>
    <r>
      <t>B</t>
    </r>
    <r>
      <rPr>
        <vertAlign val="subscript"/>
        <sz val="12"/>
        <color rgb="FF000000"/>
        <rFont val="Microsoft JhengHei Light"/>
        <family val="2"/>
        <charset val="2"/>
      </rPr>
      <t>C</t>
    </r>
    <r>
      <rPr>
        <vertAlign val="subscript"/>
        <sz val="10"/>
        <color rgb="FF000000"/>
        <rFont val="Microsoft JhengHei Light"/>
        <family val="2"/>
        <charset val="2"/>
      </rPr>
      <t>3</t>
    </r>
    <r>
      <rPr>
        <vertAlign val="subscript"/>
        <sz val="12"/>
        <color rgb="FF000000"/>
        <rFont val="Microsoft JhengHei Light"/>
        <family val="2"/>
        <charset val="2"/>
      </rPr>
      <t>F</t>
    </r>
    <r>
      <rPr>
        <vertAlign val="subscript"/>
        <sz val="10"/>
        <color rgb="FF000000"/>
        <rFont val="Microsoft JhengHei Light"/>
        <family val="2"/>
        <charset val="2"/>
      </rPr>
      <t>8</t>
    </r>
  </si>
  <si>
    <r>
      <t>B</t>
    </r>
    <r>
      <rPr>
        <vertAlign val="subscript"/>
        <sz val="12"/>
        <color rgb="FF000000"/>
        <rFont val="Microsoft JhengHei Light"/>
        <family val="2"/>
        <charset val="2"/>
      </rPr>
      <t>C</t>
    </r>
    <r>
      <rPr>
        <vertAlign val="subscript"/>
        <sz val="10"/>
        <color rgb="FF000000"/>
        <rFont val="Microsoft JhengHei Light"/>
        <family val="2"/>
        <charset val="2"/>
      </rPr>
      <t>4</t>
    </r>
    <r>
      <rPr>
        <vertAlign val="subscript"/>
        <sz val="12"/>
        <color rgb="FF000000"/>
        <rFont val="Microsoft JhengHei Light"/>
        <family val="2"/>
        <charset val="2"/>
      </rPr>
      <t>F</t>
    </r>
    <r>
      <rPr>
        <vertAlign val="subscript"/>
        <sz val="10"/>
        <color rgb="FF000000"/>
        <rFont val="Microsoft JhengHei Light"/>
        <family val="2"/>
        <charset val="2"/>
      </rPr>
      <t>6</t>
    </r>
  </si>
  <si>
    <r>
      <t>B</t>
    </r>
    <r>
      <rPr>
        <vertAlign val="subscript"/>
        <sz val="12"/>
        <color rgb="FF000000"/>
        <rFont val="Microsoft JhengHei Light"/>
        <family val="2"/>
        <charset val="2"/>
      </rPr>
      <t>C</t>
    </r>
    <r>
      <rPr>
        <vertAlign val="subscript"/>
        <sz val="10"/>
        <color rgb="FF000000"/>
        <rFont val="Microsoft JhengHei Light"/>
        <family val="2"/>
        <charset val="2"/>
      </rPr>
      <t>4</t>
    </r>
    <r>
      <rPr>
        <vertAlign val="subscript"/>
        <sz val="12"/>
        <color rgb="FF000000"/>
        <rFont val="Microsoft JhengHei Light"/>
        <family val="2"/>
        <charset val="2"/>
      </rPr>
      <t>F</t>
    </r>
    <r>
      <rPr>
        <vertAlign val="subscript"/>
        <sz val="10"/>
        <color rgb="FF000000"/>
        <rFont val="Microsoft JhengHei Light"/>
        <family val="2"/>
        <charset val="2"/>
      </rPr>
      <t>8</t>
    </r>
  </si>
  <si>
    <r>
      <t>B</t>
    </r>
    <r>
      <rPr>
        <vertAlign val="subscript"/>
        <sz val="12"/>
        <color rgb="FF000000"/>
        <rFont val="Microsoft JhengHei Light"/>
        <family val="2"/>
        <charset val="2"/>
      </rPr>
      <t>C</t>
    </r>
    <r>
      <rPr>
        <vertAlign val="subscript"/>
        <sz val="10"/>
        <color rgb="FF000000"/>
        <rFont val="Microsoft JhengHei Light"/>
        <family val="2"/>
        <charset val="2"/>
      </rPr>
      <t>5</t>
    </r>
    <r>
      <rPr>
        <vertAlign val="subscript"/>
        <sz val="12"/>
        <color rgb="FF000000"/>
        <rFont val="Microsoft JhengHei Light"/>
        <family val="2"/>
        <charset val="2"/>
      </rPr>
      <t>F</t>
    </r>
    <r>
      <rPr>
        <vertAlign val="subscript"/>
        <sz val="10"/>
        <color rgb="FF000000"/>
        <rFont val="Microsoft JhengHei Light"/>
        <family val="2"/>
        <charset val="2"/>
      </rPr>
      <t>8</t>
    </r>
  </si>
  <si>
    <r>
      <t>B</t>
    </r>
    <r>
      <rPr>
        <vertAlign val="subscript"/>
        <sz val="12"/>
        <color rgb="FF000000"/>
        <rFont val="Microsoft JhengHei Light"/>
        <family val="2"/>
        <charset val="2"/>
      </rPr>
      <t>CH</t>
    </r>
    <r>
      <rPr>
        <vertAlign val="subscript"/>
        <sz val="10"/>
        <color rgb="FF000000"/>
        <rFont val="Microsoft JhengHei Light"/>
        <family val="2"/>
        <charset val="2"/>
      </rPr>
      <t>3</t>
    </r>
    <r>
      <rPr>
        <vertAlign val="subscript"/>
        <sz val="12"/>
        <color rgb="FF000000"/>
        <rFont val="Microsoft JhengHei Light"/>
        <family val="2"/>
        <charset val="2"/>
      </rPr>
      <t>F</t>
    </r>
  </si>
  <si>
    <r>
      <t>0</t>
    </r>
    <r>
      <rPr>
        <vertAlign val="superscript"/>
        <sz val="11"/>
        <color rgb="FF000000"/>
        <rFont val="Microsoft JhengHei Light"/>
        <family val="2"/>
        <charset val="2"/>
      </rPr>
      <t>註1</t>
    </r>
  </si>
  <si>
    <r>
      <t>B</t>
    </r>
    <r>
      <rPr>
        <vertAlign val="subscript"/>
        <sz val="12"/>
        <color rgb="FF000000"/>
        <rFont val="Microsoft JhengHei Light"/>
        <family val="2"/>
        <charset val="2"/>
      </rPr>
      <t>CH</t>
    </r>
    <r>
      <rPr>
        <vertAlign val="subscript"/>
        <sz val="10"/>
        <color rgb="FF000000"/>
        <rFont val="Microsoft JhengHei Light"/>
        <family val="2"/>
        <charset val="2"/>
      </rPr>
      <t>2</t>
    </r>
    <r>
      <rPr>
        <vertAlign val="subscript"/>
        <sz val="12"/>
        <color rgb="FF000000"/>
        <rFont val="Microsoft JhengHei Light"/>
        <family val="2"/>
        <charset val="2"/>
      </rPr>
      <t>F</t>
    </r>
    <r>
      <rPr>
        <vertAlign val="subscript"/>
        <sz val="10"/>
        <color rgb="FF000000"/>
        <rFont val="Microsoft JhengHei Light"/>
        <family val="2"/>
        <charset val="2"/>
      </rPr>
      <t>2</t>
    </r>
  </si>
  <si>
    <r>
      <t>B</t>
    </r>
    <r>
      <rPr>
        <vertAlign val="subscript"/>
        <sz val="12"/>
        <color rgb="FF000000"/>
        <rFont val="Microsoft JhengHei Light"/>
        <family val="2"/>
        <charset val="2"/>
      </rPr>
      <t>CHF</t>
    </r>
    <r>
      <rPr>
        <vertAlign val="subscript"/>
        <sz val="10"/>
        <color rgb="FF000000"/>
        <rFont val="Microsoft JhengHei Light"/>
        <family val="2"/>
        <charset val="2"/>
      </rPr>
      <t>3</t>
    </r>
  </si>
  <si>
    <r>
      <t>註1：表小於10</t>
    </r>
    <r>
      <rPr>
        <vertAlign val="superscript"/>
        <sz val="12"/>
        <color rgb="FF000000"/>
        <rFont val="Microsoft JhengHei Light"/>
        <family val="2"/>
        <charset val="2"/>
      </rPr>
      <t>-7</t>
    </r>
    <r>
      <rPr>
        <sz val="12"/>
        <color rgb="FF000000"/>
        <rFont val="Microsoft JhengHei Light"/>
        <family val="2"/>
      </rPr>
      <t>。</t>
    </r>
  </si>
  <si>
    <r>
      <t>註2：NA表「不適用」、NM表「已知會排放但經未測量」。如果使用新的氣體和製程其質量百分比占氟化物消耗量的1% 以下時，且（1-U）為NM 或未列出，則可假設（1-U）= 0.8， B</t>
    </r>
    <r>
      <rPr>
        <vertAlign val="subscript"/>
        <sz val="12"/>
        <color rgb="FF000000"/>
        <rFont val="Microsoft JhengHei Light"/>
        <family val="2"/>
        <charset val="2"/>
      </rPr>
      <t>CF4</t>
    </r>
    <r>
      <rPr>
        <sz val="12"/>
        <color rgb="FF000000"/>
        <rFont val="Microsoft JhengHei Light"/>
        <family val="2"/>
      </rPr>
      <t xml:space="preserve"> = 0.15， B</t>
    </r>
    <r>
      <rPr>
        <vertAlign val="subscript"/>
        <sz val="12"/>
        <color rgb="FF000000"/>
        <rFont val="Microsoft JhengHei Light"/>
        <family val="2"/>
        <charset val="2"/>
      </rPr>
      <t>C2F6</t>
    </r>
    <r>
      <rPr>
        <sz val="12"/>
        <color rgb="FF000000"/>
        <rFont val="Microsoft JhengHei Light"/>
        <family val="2"/>
      </rPr>
      <t xml:space="preserve"> = 0.05。</t>
    </r>
  </si>
  <si>
    <t>註3：資料來源為2019 IPCC Guidelines for National Greenhouse Gas Inventories, Volume 3 Industrial Processes and Product Use, Chapter 6: Electronics Industry Emissions, table 6.7。</t>
  </si>
  <si>
    <t>表2、控制設備技術於溫室氣體具削減作用對照表</t>
  </si>
  <si>
    <t>控制設備技術</t>
  </si>
  <si>
    <t>溫室氣體</t>
  </si>
  <si>
    <r>
      <t>C</t>
    </r>
    <r>
      <rPr>
        <vertAlign val="subscript"/>
        <sz val="11"/>
        <color rgb="FF000000"/>
        <rFont val="Microsoft JhengHei Light"/>
        <family val="2"/>
        <charset val="2"/>
      </rPr>
      <t>2</t>
    </r>
    <r>
      <rPr>
        <sz val="11"/>
        <color rgb="FF000000"/>
        <rFont val="Microsoft JhengHei Light"/>
        <family val="2"/>
      </rPr>
      <t>F</t>
    </r>
    <r>
      <rPr>
        <vertAlign val="subscript"/>
        <sz val="11"/>
        <color rgb="FF000000"/>
        <rFont val="Microsoft JhengHei Light"/>
        <family val="2"/>
        <charset val="2"/>
      </rPr>
      <t>4</t>
    </r>
  </si>
  <si>
    <r>
      <t>C</t>
    </r>
    <r>
      <rPr>
        <vertAlign val="subscript"/>
        <sz val="11"/>
        <color rgb="FF000000"/>
        <rFont val="Microsoft JhengHei Light"/>
        <family val="2"/>
        <charset val="2"/>
      </rPr>
      <t>4</t>
    </r>
    <r>
      <rPr>
        <sz val="11"/>
        <color rgb="FF000000"/>
        <rFont val="Microsoft JhengHei Light"/>
        <family val="2"/>
      </rPr>
      <t>F</t>
    </r>
    <r>
      <rPr>
        <vertAlign val="subscript"/>
        <sz val="11"/>
        <color rgb="FF000000"/>
        <rFont val="Microsoft JhengHei Light"/>
        <family val="2"/>
        <charset val="2"/>
      </rPr>
      <t>8</t>
    </r>
    <r>
      <rPr>
        <sz val="11"/>
        <color rgb="FF000000"/>
        <rFont val="Microsoft JhengHei Light"/>
        <family val="2"/>
      </rPr>
      <t>O</t>
    </r>
  </si>
  <si>
    <r>
      <t>CHF</t>
    </r>
    <r>
      <rPr>
        <vertAlign val="subscript"/>
        <sz val="11"/>
        <color rgb="FF000000"/>
        <rFont val="Microsoft JhengHei Light"/>
        <family val="2"/>
        <charset val="2"/>
      </rPr>
      <t>3</t>
    </r>
  </si>
  <si>
    <r>
      <t>CH</t>
    </r>
    <r>
      <rPr>
        <vertAlign val="subscript"/>
        <sz val="11"/>
        <color rgb="FF000000"/>
        <rFont val="Microsoft JhengHei Light"/>
        <family val="2"/>
        <charset val="2"/>
      </rPr>
      <t>2</t>
    </r>
    <r>
      <rPr>
        <sz val="11"/>
        <color rgb="FF000000"/>
        <rFont val="Microsoft JhengHei Light"/>
        <family val="2"/>
      </rPr>
      <t>F</t>
    </r>
    <r>
      <rPr>
        <vertAlign val="subscript"/>
        <sz val="11"/>
        <color rgb="FF000000"/>
        <rFont val="Microsoft JhengHei Light"/>
        <family val="2"/>
        <charset val="2"/>
      </rPr>
      <t>2</t>
    </r>
  </si>
  <si>
    <r>
      <t>CH</t>
    </r>
    <r>
      <rPr>
        <vertAlign val="subscript"/>
        <sz val="11"/>
        <color rgb="FF000000"/>
        <rFont val="Microsoft JhengHei Light"/>
        <family val="2"/>
        <charset val="2"/>
      </rPr>
      <t>3</t>
    </r>
    <r>
      <rPr>
        <sz val="11"/>
        <color rgb="FF000000"/>
        <rFont val="Microsoft JhengHei Light"/>
        <family val="2"/>
      </rPr>
      <t>F</t>
    </r>
  </si>
  <si>
    <r>
      <t>C</t>
    </r>
    <r>
      <rPr>
        <vertAlign val="subscript"/>
        <sz val="11"/>
        <color rgb="FF000000"/>
        <rFont val="Microsoft JhengHei Light"/>
        <family val="2"/>
        <charset val="2"/>
      </rPr>
      <t>2</t>
    </r>
    <r>
      <rPr>
        <sz val="11"/>
        <color rgb="FF000000"/>
        <rFont val="Microsoft JhengHei Light"/>
        <family val="2"/>
      </rPr>
      <t>HF</t>
    </r>
    <r>
      <rPr>
        <vertAlign val="subscript"/>
        <sz val="11"/>
        <color rgb="FF000000"/>
        <rFont val="Microsoft JhengHei Light"/>
        <family val="2"/>
        <charset val="2"/>
      </rPr>
      <t>5</t>
    </r>
  </si>
  <si>
    <r>
      <t>NF</t>
    </r>
    <r>
      <rPr>
        <vertAlign val="subscript"/>
        <sz val="11"/>
        <color rgb="FF000000"/>
        <rFont val="Microsoft JhengHei Light"/>
        <family val="2"/>
        <charset val="2"/>
      </rPr>
      <t>3</t>
    </r>
  </si>
  <si>
    <r>
      <t>SF</t>
    </r>
    <r>
      <rPr>
        <vertAlign val="subscript"/>
        <sz val="11"/>
        <color rgb="FF000000"/>
        <rFont val="Microsoft JhengHei Light"/>
        <family val="2"/>
        <charset val="2"/>
      </rPr>
      <t>6</t>
    </r>
  </si>
  <si>
    <r>
      <t>N</t>
    </r>
    <r>
      <rPr>
        <vertAlign val="subscript"/>
        <sz val="11"/>
        <color rgb="FF000000"/>
        <rFont val="Microsoft JhengHei Light"/>
        <family val="2"/>
        <charset val="2"/>
      </rPr>
      <t>2</t>
    </r>
    <r>
      <rPr>
        <sz val="11"/>
        <color rgb="FF000000"/>
        <rFont val="Microsoft JhengHei Light"/>
        <family val="2"/>
      </rPr>
      <t>O</t>
    </r>
  </si>
  <si>
    <t>過濾/濾筒（耗材）</t>
  </si>
  <si>
    <t>X</t>
  </si>
  <si>
    <t>催化/觸媒（未消耗）</t>
  </si>
  <si>
    <t>電熱式（&lt;850℃）</t>
  </si>
  <si>
    <t>電熱式（&gt;850℃）</t>
  </si>
  <si>
    <t>電漿式</t>
  </si>
  <si>
    <t>燃燒式</t>
  </si>
  <si>
    <t>註1：「過濾/濾筒」原文為Cartridge、「催化/觸媒」原文為Catalyst、「電熱式」原文為Hot-wet (electrical)、「電漿式」原文為Plasma、「燃燒式」原文為Combustion。</t>
  </si>
  <si>
    <t>註2：X表製程使用該控制設備技術時，其溫室氣體可採用預設之溫室氣體破壞率。</t>
  </si>
  <si>
    <t>註3：資料來源為2019 IPCC Guidelines for National Greenhouse Gas Inventories, Volume 3 Industrial Processes and Product Use, Chapter 6: Electronics Industry Emissions, table 6.16。</t>
  </si>
  <si>
    <t>表3、製程氣體控制設備技術之預設 DRE值</t>
  </si>
  <si>
    <t>製程氣體控制設備技術之預設 DRE值</t>
  </si>
  <si>
    <r>
      <t>CF</t>
    </r>
    <r>
      <rPr>
        <vertAlign val="subscript"/>
        <sz val="12"/>
        <color rgb="FF000000"/>
        <rFont val="Microsoft JhengHei Light"/>
        <family val="2"/>
        <charset val="2"/>
      </rPr>
      <t>4</t>
    </r>
  </si>
  <si>
    <r>
      <t>C</t>
    </r>
    <r>
      <rPr>
        <vertAlign val="subscript"/>
        <sz val="12"/>
        <color rgb="FF000000"/>
        <rFont val="Microsoft JhengHei Light"/>
        <family val="2"/>
        <charset val="2"/>
      </rPr>
      <t>2</t>
    </r>
    <r>
      <rPr>
        <sz val="12"/>
        <color rgb="FF000000"/>
        <rFont val="Microsoft JhengHei Light"/>
        <family val="2"/>
      </rPr>
      <t>F</t>
    </r>
    <r>
      <rPr>
        <vertAlign val="subscript"/>
        <sz val="12"/>
        <color rgb="FF000000"/>
        <rFont val="Microsoft JhengHei Light"/>
        <family val="2"/>
        <charset val="2"/>
      </rPr>
      <t>4</t>
    </r>
  </si>
  <si>
    <r>
      <t>C</t>
    </r>
    <r>
      <rPr>
        <vertAlign val="subscript"/>
        <sz val="12"/>
        <color rgb="FF000000"/>
        <rFont val="Microsoft JhengHei Light"/>
        <family val="2"/>
        <charset val="2"/>
      </rPr>
      <t>2</t>
    </r>
    <r>
      <rPr>
        <sz val="12"/>
        <color rgb="FF000000"/>
        <rFont val="Microsoft JhengHei Light"/>
        <family val="2"/>
      </rPr>
      <t>F</t>
    </r>
    <r>
      <rPr>
        <vertAlign val="subscript"/>
        <sz val="12"/>
        <color rgb="FF000000"/>
        <rFont val="Microsoft JhengHei Light"/>
        <family val="2"/>
        <charset val="2"/>
      </rPr>
      <t>6</t>
    </r>
  </si>
  <si>
    <r>
      <t>C</t>
    </r>
    <r>
      <rPr>
        <vertAlign val="subscript"/>
        <sz val="12"/>
        <color rgb="FF000000"/>
        <rFont val="Microsoft JhengHei Light"/>
        <family val="2"/>
        <charset val="2"/>
      </rPr>
      <t>3</t>
    </r>
    <r>
      <rPr>
        <sz val="12"/>
        <color rgb="FF000000"/>
        <rFont val="Microsoft JhengHei Light"/>
        <family val="2"/>
      </rPr>
      <t>F</t>
    </r>
    <r>
      <rPr>
        <vertAlign val="subscript"/>
        <sz val="12"/>
        <color rgb="FF000000"/>
        <rFont val="Microsoft JhengHei Light"/>
        <family val="2"/>
        <charset val="2"/>
      </rPr>
      <t>8</t>
    </r>
  </si>
  <si>
    <r>
      <t>C</t>
    </r>
    <r>
      <rPr>
        <vertAlign val="subscript"/>
        <sz val="12"/>
        <color rgb="FF000000"/>
        <rFont val="Microsoft JhengHei Light"/>
        <family val="2"/>
        <charset val="2"/>
      </rPr>
      <t>4</t>
    </r>
    <r>
      <rPr>
        <sz val="12"/>
        <color rgb="FF000000"/>
        <rFont val="Microsoft JhengHei Light"/>
        <family val="2"/>
      </rPr>
      <t>F</t>
    </r>
    <r>
      <rPr>
        <vertAlign val="subscript"/>
        <sz val="12"/>
        <color rgb="FF000000"/>
        <rFont val="Microsoft JhengHei Light"/>
        <family val="2"/>
        <charset val="2"/>
      </rPr>
      <t>6</t>
    </r>
  </si>
  <si>
    <r>
      <t>c-C</t>
    </r>
    <r>
      <rPr>
        <vertAlign val="subscript"/>
        <sz val="12"/>
        <color rgb="FF000000"/>
        <rFont val="Microsoft JhengHei Light"/>
        <family val="2"/>
        <charset val="2"/>
      </rPr>
      <t>4</t>
    </r>
    <r>
      <rPr>
        <sz val="12"/>
        <color rgb="FF000000"/>
        <rFont val="Microsoft JhengHei Light"/>
        <family val="2"/>
      </rPr>
      <t>F</t>
    </r>
    <r>
      <rPr>
        <vertAlign val="subscript"/>
        <sz val="12"/>
        <color rgb="FF000000"/>
        <rFont val="Microsoft JhengHei Light"/>
        <family val="2"/>
        <charset val="2"/>
      </rPr>
      <t>8</t>
    </r>
  </si>
  <si>
    <r>
      <t>C</t>
    </r>
    <r>
      <rPr>
        <vertAlign val="subscript"/>
        <sz val="12"/>
        <color rgb="FF000000"/>
        <rFont val="Microsoft JhengHei Light"/>
        <family val="2"/>
        <charset val="2"/>
      </rPr>
      <t>4</t>
    </r>
    <r>
      <rPr>
        <sz val="12"/>
        <color rgb="FF000000"/>
        <rFont val="Microsoft JhengHei Light"/>
        <family val="2"/>
      </rPr>
      <t>F</t>
    </r>
    <r>
      <rPr>
        <vertAlign val="subscript"/>
        <sz val="12"/>
        <color rgb="FF000000"/>
        <rFont val="Microsoft JhengHei Light"/>
        <family val="2"/>
        <charset val="2"/>
      </rPr>
      <t>8</t>
    </r>
    <r>
      <rPr>
        <sz val="12"/>
        <color rgb="FF000000"/>
        <rFont val="Microsoft JhengHei Light"/>
        <family val="2"/>
      </rPr>
      <t>O</t>
    </r>
  </si>
  <si>
    <r>
      <t>C</t>
    </r>
    <r>
      <rPr>
        <vertAlign val="subscript"/>
        <sz val="12"/>
        <color rgb="FF000000"/>
        <rFont val="Microsoft JhengHei Light"/>
        <family val="2"/>
        <charset val="2"/>
      </rPr>
      <t>5</t>
    </r>
    <r>
      <rPr>
        <sz val="12"/>
        <color rgb="FF000000"/>
        <rFont val="Microsoft JhengHei Light"/>
        <family val="2"/>
      </rPr>
      <t>F</t>
    </r>
    <r>
      <rPr>
        <vertAlign val="subscript"/>
        <sz val="12"/>
        <color rgb="FF000000"/>
        <rFont val="Microsoft JhengHei Light"/>
        <family val="2"/>
        <charset val="2"/>
      </rPr>
      <t>8</t>
    </r>
  </si>
  <si>
    <r>
      <t>CHF</t>
    </r>
    <r>
      <rPr>
        <vertAlign val="subscript"/>
        <sz val="12"/>
        <color rgb="FF000000"/>
        <rFont val="Microsoft JhengHei Light"/>
        <family val="2"/>
        <charset val="2"/>
      </rPr>
      <t>3</t>
    </r>
  </si>
  <si>
    <r>
      <t>CH</t>
    </r>
    <r>
      <rPr>
        <vertAlign val="subscript"/>
        <sz val="12"/>
        <color rgb="FF000000"/>
        <rFont val="Microsoft JhengHei Light"/>
        <family val="2"/>
        <charset val="2"/>
      </rPr>
      <t>2</t>
    </r>
    <r>
      <rPr>
        <sz val="12"/>
        <color rgb="FF000000"/>
        <rFont val="Microsoft JhengHei Light"/>
        <family val="2"/>
      </rPr>
      <t>F</t>
    </r>
    <r>
      <rPr>
        <vertAlign val="subscript"/>
        <sz val="12"/>
        <color rgb="FF000000"/>
        <rFont val="Microsoft JhengHei Light"/>
        <family val="2"/>
        <charset val="2"/>
      </rPr>
      <t>2</t>
    </r>
  </si>
  <si>
    <r>
      <t>CH</t>
    </r>
    <r>
      <rPr>
        <vertAlign val="subscript"/>
        <sz val="12"/>
        <color rgb="FF000000"/>
        <rFont val="Microsoft JhengHei Light"/>
        <family val="2"/>
        <charset val="2"/>
      </rPr>
      <t>3</t>
    </r>
    <r>
      <rPr>
        <sz val="12"/>
        <color rgb="FF000000"/>
        <rFont val="Microsoft JhengHei Light"/>
        <family val="2"/>
      </rPr>
      <t>F</t>
    </r>
  </si>
  <si>
    <r>
      <t>C</t>
    </r>
    <r>
      <rPr>
        <vertAlign val="subscript"/>
        <sz val="12"/>
        <color rgb="FF000000"/>
        <rFont val="Microsoft JhengHei Light"/>
        <family val="2"/>
        <charset val="2"/>
      </rPr>
      <t>2</t>
    </r>
    <r>
      <rPr>
        <sz val="12"/>
        <color rgb="FF000000"/>
        <rFont val="Microsoft JhengHei Light"/>
        <family val="2"/>
      </rPr>
      <t>HF</t>
    </r>
    <r>
      <rPr>
        <vertAlign val="subscript"/>
        <sz val="12"/>
        <color rgb="FF000000"/>
        <rFont val="Microsoft JhengHei Light"/>
        <family val="2"/>
        <charset val="2"/>
      </rPr>
      <t>5</t>
    </r>
  </si>
  <si>
    <r>
      <t>NF</t>
    </r>
    <r>
      <rPr>
        <vertAlign val="subscript"/>
        <sz val="12"/>
        <color rgb="FF000000"/>
        <rFont val="Microsoft JhengHei Light"/>
        <family val="2"/>
        <charset val="2"/>
      </rPr>
      <t>3</t>
    </r>
  </si>
  <si>
    <r>
      <t>SF</t>
    </r>
    <r>
      <rPr>
        <vertAlign val="subscript"/>
        <sz val="12"/>
        <color rgb="FF000000"/>
        <rFont val="Microsoft JhengHei Light"/>
        <family val="2"/>
        <charset val="2"/>
      </rPr>
      <t>6</t>
    </r>
  </si>
  <si>
    <t>DRE</t>
  </si>
  <si>
    <t>註1：平均 DRE 值源自於在每種特定氣體的實際或代表性生產條件下測量的各個實驗 DRE 數據點，使用業界認可的測量協議。</t>
  </si>
  <si>
    <t>註2：資料來源為2019 IPCC Guidelines for National Greenhouse Gas Inventories, Volume 3 Industrial Processes and Product Use, Chapter 6: Electronics Industry Emissions, table 6.17。</t>
  </si>
  <si>
    <t>表4、氣體權重因子</t>
  </si>
  <si>
    <t xml:space="preserve">                                 氣體種類
權重因子</t>
  </si>
  <si>
    <t>γ權重因子</t>
  </si>
  <si>
    <t>（依氣體種類及製程組合選定）</t>
  </si>
  <si>
    <r>
      <t>(IPC+ITC)/EWC</t>
    </r>
    <r>
      <rPr>
        <vertAlign val="superscript"/>
        <sz val="12"/>
        <color rgb="FF000000"/>
        <rFont val="Microsoft JhengHei Light"/>
        <family val="2"/>
        <charset val="2"/>
      </rPr>
      <t>註1</t>
    </r>
  </si>
  <si>
    <t>IPC/EWC</t>
  </si>
  <si>
    <t>(IPC+ITC)/EWC</t>
  </si>
  <si>
    <t>Tier 2a</t>
  </si>
  <si>
    <r>
      <t>γ</t>
    </r>
    <r>
      <rPr>
        <vertAlign val="subscript"/>
        <sz val="12"/>
        <color rgb="FF000000"/>
        <rFont val="Microsoft JhengHei Light"/>
        <family val="2"/>
        <charset val="2"/>
      </rPr>
      <t>i,p</t>
    </r>
  </si>
  <si>
    <r>
      <t>13</t>
    </r>
    <r>
      <rPr>
        <vertAlign val="superscript"/>
        <sz val="12"/>
        <color rgb="FF000000"/>
        <rFont val="Microsoft JhengHei Light"/>
        <family val="2"/>
        <charset val="2"/>
      </rPr>
      <t>註2</t>
    </r>
  </si>
  <si>
    <r>
      <t>14</t>
    </r>
    <r>
      <rPr>
        <vertAlign val="superscript"/>
        <sz val="12"/>
        <color rgb="FF000000"/>
        <rFont val="Microsoft JhengHei Light"/>
        <family val="2"/>
        <charset val="2"/>
      </rPr>
      <t>註2</t>
    </r>
  </si>
  <si>
    <r>
      <t>γ</t>
    </r>
    <r>
      <rPr>
        <vertAlign val="subscript"/>
        <sz val="12"/>
        <color rgb="FF000000"/>
        <rFont val="Microsoft JhengHei Light"/>
        <family val="2"/>
        <charset val="2"/>
      </rPr>
      <t>CF</t>
    </r>
    <r>
      <rPr>
        <vertAlign val="subscript"/>
        <sz val="10"/>
        <color rgb="FF000000"/>
        <rFont val="Microsoft JhengHei Light"/>
        <family val="2"/>
        <charset val="2"/>
      </rPr>
      <t>4</t>
    </r>
    <r>
      <rPr>
        <vertAlign val="subscript"/>
        <sz val="12"/>
        <color rgb="FF000000"/>
        <rFont val="Microsoft JhengHei Light"/>
        <family val="2"/>
        <charset val="2"/>
      </rPr>
      <t>,i,p</t>
    </r>
  </si>
  <si>
    <r>
      <t>γ</t>
    </r>
    <r>
      <rPr>
        <vertAlign val="subscript"/>
        <sz val="12"/>
        <color rgb="FF000000"/>
        <rFont val="Microsoft JhengHei Light"/>
        <family val="2"/>
        <charset val="2"/>
      </rPr>
      <t>C</t>
    </r>
    <r>
      <rPr>
        <vertAlign val="subscript"/>
        <sz val="10"/>
        <color rgb="FF000000"/>
        <rFont val="Microsoft JhengHei Light"/>
        <family val="2"/>
        <charset val="2"/>
      </rPr>
      <t>2</t>
    </r>
    <r>
      <rPr>
        <vertAlign val="subscript"/>
        <sz val="12"/>
        <color rgb="FF000000"/>
        <rFont val="Microsoft JhengHei Light"/>
        <family val="2"/>
        <charset val="2"/>
      </rPr>
      <t>F</t>
    </r>
    <r>
      <rPr>
        <vertAlign val="subscript"/>
        <sz val="10"/>
        <color rgb="FF000000"/>
        <rFont val="Microsoft JhengHei Light"/>
        <family val="2"/>
        <charset val="2"/>
      </rPr>
      <t>6</t>
    </r>
    <r>
      <rPr>
        <vertAlign val="subscript"/>
        <sz val="12"/>
        <color rgb="FF000000"/>
        <rFont val="Microsoft JhengHei Light"/>
        <family val="2"/>
        <charset val="2"/>
      </rPr>
      <t>,i,p</t>
    </r>
  </si>
  <si>
    <t>Tier 2b</t>
  </si>
  <si>
    <r>
      <t>γ</t>
    </r>
    <r>
      <rPr>
        <vertAlign val="subscript"/>
        <sz val="12"/>
        <color rgb="FF000000"/>
        <rFont val="Microsoft JhengHei Light"/>
        <family val="2"/>
        <charset val="2"/>
      </rPr>
      <t>i</t>
    </r>
    <r>
      <rPr>
        <sz val="12"/>
        <color rgb="FF000000"/>
        <rFont val="Microsoft JhengHei Light"/>
        <family val="2"/>
      </rPr>
      <t xml:space="preserve"> </t>
    </r>
    <r>
      <rPr>
        <vertAlign val="subscript"/>
        <sz val="12"/>
        <color rgb="FF000000"/>
        <rFont val="Microsoft JhengHei Light"/>
        <family val="2"/>
        <charset val="2"/>
      </rPr>
      <t xml:space="preserve">
</t>
    </r>
    <r>
      <rPr>
        <sz val="12"/>
        <color rgb="FF000000"/>
        <rFont val="Microsoft JhengHei Light"/>
        <family val="2"/>
      </rPr>
      <t>（晶圓尺寸≤200 mm）</t>
    </r>
  </si>
  <si>
    <r>
      <t>2.9</t>
    </r>
    <r>
      <rPr>
        <vertAlign val="superscript"/>
        <sz val="12"/>
        <color rgb="FF000000"/>
        <rFont val="Microsoft JhengHei Light"/>
        <family val="2"/>
        <charset val="2"/>
      </rPr>
      <t>註2</t>
    </r>
  </si>
  <si>
    <r>
      <t>γ</t>
    </r>
    <r>
      <rPr>
        <vertAlign val="subscript"/>
        <sz val="12"/>
        <color rgb="FF000000"/>
        <rFont val="Microsoft JhengHei Light"/>
        <family val="2"/>
        <charset val="2"/>
      </rPr>
      <t>CF</t>
    </r>
    <r>
      <rPr>
        <vertAlign val="subscript"/>
        <sz val="10"/>
        <color rgb="FF000000"/>
        <rFont val="Microsoft JhengHei Light"/>
        <family val="2"/>
        <charset val="2"/>
      </rPr>
      <t>4</t>
    </r>
    <r>
      <rPr>
        <vertAlign val="subscript"/>
        <sz val="12"/>
        <color rgb="FF000000"/>
        <rFont val="Microsoft JhengHei Light"/>
        <family val="2"/>
        <charset val="2"/>
      </rPr>
      <t>,i,p</t>
    </r>
    <r>
      <rPr>
        <sz val="12"/>
        <color rgb="FF000000"/>
        <rFont val="Microsoft JhengHei Light"/>
        <family val="2"/>
      </rPr>
      <t xml:space="preserve"> </t>
    </r>
    <r>
      <rPr>
        <vertAlign val="subscript"/>
        <sz val="12"/>
        <color rgb="FF000000"/>
        <rFont val="Microsoft JhengHei Light"/>
        <family val="2"/>
        <charset val="2"/>
      </rPr>
      <t xml:space="preserve">
</t>
    </r>
    <r>
      <rPr>
        <sz val="12"/>
        <color rgb="FF000000"/>
        <rFont val="Microsoft JhengHei Light"/>
        <family val="2"/>
      </rPr>
      <t>（晶圓尺寸≤200 mm）</t>
    </r>
  </si>
  <si>
    <r>
      <t>γ</t>
    </r>
    <r>
      <rPr>
        <vertAlign val="subscript"/>
        <sz val="12"/>
        <color rgb="FF000000"/>
        <rFont val="Microsoft JhengHei Light"/>
        <family val="2"/>
        <charset val="2"/>
      </rPr>
      <t>C</t>
    </r>
    <r>
      <rPr>
        <vertAlign val="subscript"/>
        <sz val="10"/>
        <color rgb="FF000000"/>
        <rFont val="Microsoft JhengHei Light"/>
        <family val="2"/>
        <charset val="2"/>
      </rPr>
      <t>2</t>
    </r>
    <r>
      <rPr>
        <vertAlign val="subscript"/>
        <sz val="12"/>
        <color rgb="FF000000"/>
        <rFont val="Microsoft JhengHei Light"/>
        <family val="2"/>
        <charset val="2"/>
      </rPr>
      <t>F</t>
    </r>
    <r>
      <rPr>
        <vertAlign val="subscript"/>
        <sz val="10"/>
        <color rgb="FF000000"/>
        <rFont val="Microsoft JhengHei Light"/>
        <family val="2"/>
        <charset val="2"/>
      </rPr>
      <t>6</t>
    </r>
    <r>
      <rPr>
        <vertAlign val="subscript"/>
        <sz val="12"/>
        <color rgb="FF000000"/>
        <rFont val="Microsoft JhengHei Light"/>
        <family val="2"/>
        <charset val="2"/>
      </rPr>
      <t>,i,p</t>
    </r>
    <r>
      <rPr>
        <vertAlign val="subscript"/>
        <sz val="12"/>
        <color rgb="FF000000"/>
        <rFont val="Microsoft JhengHei Light"/>
        <family val="2"/>
        <charset val="2"/>
      </rPr>
      <t xml:space="preserve">
</t>
    </r>
    <r>
      <rPr>
        <sz val="12"/>
        <color rgb="FF000000"/>
        <rFont val="Microsoft JhengHei Light"/>
        <family val="2"/>
      </rPr>
      <t>（晶圓尺寸≤200 mm）</t>
    </r>
  </si>
  <si>
    <r>
      <t>γ</t>
    </r>
    <r>
      <rPr>
        <vertAlign val="subscript"/>
        <sz val="12"/>
        <color rgb="FF000000"/>
        <rFont val="Microsoft JhengHei Light"/>
        <family val="2"/>
        <charset val="2"/>
      </rPr>
      <t>i,p</t>
    </r>
    <r>
      <rPr>
        <sz val="12"/>
        <color rgb="FF000000"/>
        <rFont val="Microsoft JhengHei Light"/>
        <family val="2"/>
      </rPr>
      <t xml:space="preserve"> </t>
    </r>
    <r>
      <rPr>
        <vertAlign val="subscript"/>
        <sz val="12"/>
        <color rgb="FF000000"/>
        <rFont val="Microsoft JhengHei Light"/>
        <family val="2"/>
        <charset val="2"/>
      </rPr>
      <t xml:space="preserve">
</t>
    </r>
    <r>
      <rPr>
        <sz val="12"/>
        <color rgb="FF000000"/>
        <rFont val="Microsoft JhengHei Light"/>
        <family val="2"/>
      </rPr>
      <t>（晶圓尺寸300 mm）</t>
    </r>
  </si>
  <si>
    <r>
      <t>26</t>
    </r>
    <r>
      <rPr>
        <vertAlign val="superscript"/>
        <sz val="12"/>
        <color rgb="FF000000"/>
        <rFont val="Microsoft JhengHei Light"/>
        <family val="2"/>
        <charset val="2"/>
      </rPr>
      <t>註2</t>
    </r>
  </si>
  <si>
    <r>
      <t>γ</t>
    </r>
    <r>
      <rPr>
        <vertAlign val="subscript"/>
        <sz val="12"/>
        <color rgb="FF000000"/>
        <rFont val="Microsoft JhengHei Light"/>
        <family val="2"/>
        <charset val="2"/>
      </rPr>
      <t>CF</t>
    </r>
    <r>
      <rPr>
        <vertAlign val="subscript"/>
        <sz val="10"/>
        <color rgb="FF000000"/>
        <rFont val="Microsoft JhengHei Light"/>
        <family val="2"/>
        <charset val="2"/>
      </rPr>
      <t>4</t>
    </r>
    <r>
      <rPr>
        <vertAlign val="subscript"/>
        <sz val="12"/>
        <color rgb="FF000000"/>
        <rFont val="Microsoft JhengHei Light"/>
        <family val="2"/>
        <charset val="2"/>
      </rPr>
      <t>,i,p</t>
    </r>
    <r>
      <rPr>
        <vertAlign val="subscript"/>
        <sz val="12"/>
        <color rgb="FF000000"/>
        <rFont val="Microsoft JhengHei Light"/>
        <family val="2"/>
        <charset val="2"/>
      </rPr>
      <t xml:space="preserve">
</t>
    </r>
    <r>
      <rPr>
        <sz val="12"/>
        <color rgb="FF000000"/>
        <rFont val="Microsoft JhengHei Light"/>
        <family val="2"/>
      </rPr>
      <t>（晶圓尺寸300 mm）</t>
    </r>
  </si>
  <si>
    <t>註1：ETC表「etching and wafer cleaning」，即蝕刻/晶圓清洗；RPC表「remote plasma cleaning」，即遠端電漿清洗；IPC表「in-situ plasma cleaning」，即原位電漿清洗；ITC表「in-situ thermal cleaning」，即原位熱清洗。</t>
  </si>
  <si>
    <t>註2：200 mm 的γ值是基於 IPC所發展的；300 mm 的γ值是基於 ITC 和 IPC 所發展的。由於相同的氣體即晶圓尺寸的IPC 和 ITC 的排放因子相似，因此基此類比γ值。對於未提供γ值時，可假設γi = 10、γk = 10。</t>
  </si>
  <si>
    <t>註3：資料來源為2019 IPCC Guidelines for National Greenhouse Gas Inventories, Volume 3 Industrial Processes and Product Use, Chapter 6: Electronics Industry Emissions, table 6.8。</t>
  </si>
  <si>
    <t>2.Tier 2b之預設排放係數（半導體、顯示器、PV及MEMS適用）</t>
  </si>
  <si>
    <r>
      <t>Tier2b 適用於半導體、與半導體製造類似的製程及 MEMS，此計算方法考量晶圓尺寸，其計算方式與Tier2a相同，但 (1-U</t>
    </r>
    <r>
      <rPr>
        <vertAlign val="subscript"/>
        <sz val="12"/>
        <color rgb="FF000000"/>
        <rFont val="Microsoft JhengHei Light"/>
        <family val="2"/>
        <charset val="2"/>
      </rPr>
      <t>i</t>
    </r>
    <r>
      <rPr>
        <sz val="12"/>
        <color rgb="FF000000"/>
        <rFont val="Microsoft JhengHei Light"/>
        <family val="2"/>
      </rPr>
      <t>) 及 B</t>
    </r>
    <r>
      <rPr>
        <vertAlign val="subscript"/>
        <sz val="12"/>
        <color rgb="FF000000"/>
        <rFont val="Microsoft JhengHei Light"/>
        <family val="2"/>
        <charset val="2"/>
      </rPr>
      <t>k,i</t>
    </r>
    <r>
      <rPr>
        <sz val="12"/>
        <color rgb="FF000000"/>
        <rFont val="Microsoft JhengHei Light"/>
        <family val="2"/>
      </rPr>
      <t xml:space="preserve"> 之預設參數如表5。 </t>
    </r>
  </si>
  <si>
    <t>表5、Tier 2b氣體之利用率及其轉化生成副產品之排放因子</t>
  </si>
  <si>
    <t xml:space="preserve">                                  氣體種類
排放因子</t>
  </si>
  <si>
    <r>
      <t>C</t>
    </r>
    <r>
      <rPr>
        <vertAlign val="subscript"/>
        <sz val="12"/>
        <color rgb="FF000000"/>
        <rFont val="Microsoft JhengHei Light"/>
        <family val="2"/>
        <charset val="2"/>
      </rPr>
      <t>3</t>
    </r>
    <r>
      <rPr>
        <sz val="12"/>
        <color rgb="FF000000"/>
        <rFont val="Microsoft JhengHei Light"/>
        <family val="2"/>
      </rPr>
      <t>F</t>
    </r>
    <r>
      <rPr>
        <vertAlign val="subscript"/>
        <sz val="12"/>
        <color rgb="FF000000"/>
        <rFont val="Microsoft JhengHei Light"/>
        <family val="2"/>
        <charset val="2"/>
      </rPr>
      <t>8</t>
    </r>
    <r>
      <rPr>
        <vertAlign val="subscript"/>
        <sz val="12"/>
        <color rgb="FF000000"/>
        <rFont val="Microsoft JhengHei Light"/>
        <family val="2"/>
        <charset val="2"/>
      </rPr>
      <t xml:space="preserve">
</t>
    </r>
    <r>
      <rPr>
        <sz val="12"/>
        <color rgb="FF000000"/>
        <rFont val="Microsoft JhengHei Light"/>
        <family val="2"/>
      </rPr>
      <t>Remote</t>
    </r>
  </si>
  <si>
    <r>
      <t>NF</t>
    </r>
    <r>
      <rPr>
        <vertAlign val="subscript"/>
        <sz val="12"/>
        <color rgb="FF000000"/>
        <rFont val="Microsoft JhengHei Light"/>
        <family val="2"/>
        <charset val="2"/>
      </rPr>
      <t>3</t>
    </r>
    <r>
      <rPr>
        <vertAlign val="subscript"/>
        <sz val="12"/>
        <color rgb="FF000000"/>
        <rFont val="Microsoft JhengHei Light"/>
        <family val="2"/>
        <charset val="2"/>
      </rPr>
      <t xml:space="preserve">
</t>
    </r>
    <r>
      <rPr>
        <sz val="12"/>
        <color rgb="FF000000"/>
        <rFont val="Microsoft JhengHei Light"/>
        <family val="2"/>
      </rPr>
      <t>Remote</t>
    </r>
  </si>
  <si>
    <r>
      <t>N</t>
    </r>
    <r>
      <rPr>
        <vertAlign val="subscript"/>
        <sz val="12"/>
        <color rgb="FF000000"/>
        <rFont val="Microsoft JhengHei Light"/>
        <family val="2"/>
        <charset val="2"/>
      </rPr>
      <t>2</t>
    </r>
    <r>
      <rPr>
        <sz val="12"/>
        <color rgb="FF000000"/>
        <rFont val="Microsoft JhengHei Light"/>
        <family val="2"/>
      </rPr>
      <t>O TFD</t>
    </r>
  </si>
  <si>
    <r>
      <t>N</t>
    </r>
    <r>
      <rPr>
        <vertAlign val="subscript"/>
        <sz val="12"/>
        <color rgb="FF000000"/>
        <rFont val="Microsoft JhengHei Light"/>
        <family val="2"/>
        <charset val="2"/>
      </rPr>
      <t>2</t>
    </r>
    <r>
      <rPr>
        <sz val="12"/>
        <color rgb="FF000000"/>
        <rFont val="Microsoft JhengHei Light"/>
        <family val="2"/>
      </rPr>
      <t>O other</t>
    </r>
  </si>
  <si>
    <r>
      <t>COF</t>
    </r>
    <r>
      <rPr>
        <vertAlign val="subscript"/>
        <sz val="12"/>
        <color rgb="FF000000"/>
        <rFont val="Microsoft JhengHei Light"/>
        <family val="2"/>
        <charset val="2"/>
      </rPr>
      <t>2</t>
    </r>
  </si>
  <si>
    <r>
      <t>F</t>
    </r>
    <r>
      <rPr>
        <vertAlign val="subscript"/>
        <sz val="12"/>
        <color rgb="FF000000"/>
        <rFont val="Microsoft JhengHei Light"/>
        <family val="2"/>
        <charset val="2"/>
      </rPr>
      <t>2</t>
    </r>
  </si>
  <si>
    <r>
      <t>晶圓尺寸</t>
    </r>
    <r>
      <rPr>
        <sz val="12"/>
        <color rgb="FF000000"/>
        <rFont val="Times New Roman"/>
        <family val="1"/>
      </rPr>
      <t>≤</t>
    </r>
    <r>
      <rPr>
        <sz val="12"/>
        <color rgb="FF000000"/>
        <rFont val="Microsoft JhengHei Light"/>
        <family val="2"/>
      </rPr>
      <t xml:space="preserve">200 mm </t>
    </r>
  </si>
  <si>
    <r>
      <t>(1-U</t>
    </r>
    <r>
      <rPr>
        <vertAlign val="subscript"/>
        <sz val="12"/>
        <color rgb="FF000000"/>
        <rFont val="Microsoft JhengHei Light"/>
        <family val="2"/>
        <charset val="2"/>
      </rPr>
      <t>i</t>
    </r>
    <r>
      <rPr>
        <sz val="12"/>
        <color rgb="FF000000"/>
        <rFont val="Microsoft JhengHei Light"/>
        <family val="2"/>
      </rPr>
      <t>)</t>
    </r>
  </si>
  <si>
    <t xml:space="preserve">晶圓尺寸300 mm </t>
  </si>
  <si>
    <r>
      <t>註1：NA表「不適用」、NM表「已知會排放但經未測量」。如果使用新的氣體和製程其質量百分比占氟化物消耗量的1% 以下時，且（1-U</t>
    </r>
    <r>
      <rPr>
        <vertAlign val="subscript"/>
        <sz val="12"/>
        <color rgb="FF000000"/>
        <rFont val="Microsoft JhengHei Light"/>
        <family val="2"/>
        <charset val="2"/>
      </rPr>
      <t>i</t>
    </r>
    <r>
      <rPr>
        <sz val="12"/>
        <color rgb="FF000000"/>
        <rFont val="Microsoft JhengHei Light"/>
        <family val="2"/>
      </rPr>
      <t>） 為NM 或未列出，則可假設（1-U</t>
    </r>
    <r>
      <rPr>
        <vertAlign val="subscript"/>
        <sz val="12"/>
        <color rgb="FF000000"/>
        <rFont val="Microsoft JhengHei Light"/>
        <family val="2"/>
        <charset val="2"/>
      </rPr>
      <t>i</t>
    </r>
    <r>
      <rPr>
        <sz val="12"/>
        <color rgb="FF000000"/>
        <rFont val="Microsoft JhengHei Light"/>
        <family val="2"/>
      </rPr>
      <t>）= 0.8， B</t>
    </r>
    <r>
      <rPr>
        <vertAlign val="subscript"/>
        <sz val="12"/>
        <color rgb="FF000000"/>
        <rFont val="Microsoft JhengHei Light"/>
        <family val="2"/>
        <charset val="2"/>
      </rPr>
      <t>CF4</t>
    </r>
    <r>
      <rPr>
        <sz val="12"/>
        <color rgb="FF000000"/>
        <rFont val="Microsoft JhengHei Light"/>
        <family val="2"/>
      </rPr>
      <t xml:space="preserve"> = 0.15， B</t>
    </r>
    <r>
      <rPr>
        <vertAlign val="subscript"/>
        <sz val="12"/>
        <color rgb="FF000000"/>
        <rFont val="Microsoft JhengHei Light"/>
        <family val="2"/>
        <charset val="2"/>
      </rPr>
      <t>C2F6</t>
    </r>
    <r>
      <rPr>
        <sz val="12"/>
        <color rgb="FF000000"/>
        <rFont val="Microsoft JhengHei Light"/>
        <family val="2"/>
      </rPr>
      <t xml:space="preserve"> = 0.05。</t>
    </r>
  </si>
  <si>
    <t>註2：資料來源為2019 IPCC Guidelines for National Greenhouse Gas Inventories, Volume 3 Industrial Processes and Product Use, Chapter 6: Electronics Industry Emissions, table 6.9。</t>
  </si>
  <si>
    <t>3.Tier 2c之預設排放係數（半導體、顯示器、PV及MEMS適用）</t>
  </si>
  <si>
    <t>其中， 表氣體i之排放量（單位：公斤）、 表氣體於製程p之消耗使用量（單位：公斤）、 表氣體i於製程p之利用率（單位：%）（預設參數，見表6至9）、 表氣體i於製程p之排放量總削減率（單位：%）。</t>
  </si>
  <si>
    <t>其中， 表氣體i之製程p設備配備適合氣體 i 排放控制技術的排放比例（單位：%）、 表氣體i之製程設備配備適合氣體 i 排放控制技術的削減率（單位：%），即DRE（預設參數，見表2、3）、 表控制技術於製程p之平均正常操作的比例。</t>
  </si>
  <si>
    <r>
      <t>其中，na</t>
    </r>
    <r>
      <rPr>
        <vertAlign val="subscript"/>
        <sz val="12"/>
        <color rgb="FF000000"/>
        <rFont val="Microsoft JhengHei Light"/>
        <family val="2"/>
        <charset val="2"/>
      </rPr>
      <t>i,p,a</t>
    </r>
    <r>
      <rPr>
        <sz val="12"/>
        <color rgb="FF000000"/>
        <rFont val="Microsoft JhengHei Light"/>
        <family val="2"/>
      </rPr>
      <t xml:space="preserve"> 表於製程p配備適合控制氣體 i 排放技術之設備數量、n</t>
    </r>
    <r>
      <rPr>
        <vertAlign val="subscript"/>
        <sz val="12"/>
        <color rgb="FF000000"/>
        <rFont val="Microsoft JhengHei Light"/>
        <family val="2"/>
        <charset val="2"/>
      </rPr>
      <t>i,p</t>
    </r>
    <r>
      <rPr>
        <sz val="12"/>
        <color rgb="FF000000"/>
        <rFont val="Microsoft JhengHei Light"/>
        <family val="2"/>
      </rPr>
      <t xml:space="preserve"> 表於製程p使用氣體 i的設備總數。</t>
    </r>
  </si>
  <si>
    <r>
      <t>其中，Td</t>
    </r>
    <r>
      <rPr>
        <vertAlign val="subscript"/>
        <sz val="12"/>
        <color rgb="FF000000"/>
        <rFont val="Microsoft JhengHei Light"/>
        <family val="2"/>
        <charset val="2"/>
      </rPr>
      <t>n,p</t>
    </r>
    <r>
      <rPr>
        <sz val="12"/>
        <color rgb="FF000000"/>
        <rFont val="Microsoft JhengHei Light"/>
        <family val="2"/>
      </rPr>
      <t xml:space="preserve"> 表具排放控制技術 n 於製程p設備中整年度未開啟的總時間（單位：分鐘）、TT</t>
    </r>
    <r>
      <rPr>
        <vertAlign val="subscript"/>
        <sz val="12"/>
        <color rgb="FF000000"/>
        <rFont val="Microsoft JhengHei Light"/>
        <family val="2"/>
        <charset val="2"/>
      </rPr>
      <t>n,p</t>
    </r>
    <r>
      <rPr>
        <sz val="12"/>
        <color rgb="FF000000"/>
        <rFont val="Microsoft JhengHei Light"/>
        <family val="2"/>
      </rPr>
      <t>表具排放控制技術 n 於製程p設備整年度開啟的總時間（單位：分鐘）。</t>
    </r>
  </si>
  <si>
    <t>註：資料來源為2019 IPCC Guidelines for National Greenhouse Gas Inventories, Volume 3 Industrial Processes and Product Use, Chapter 6: Electronics Industry Emissions, equation  6.13、6.16、6.10、6.20。</t>
  </si>
  <si>
    <t>其使用氣體轉化生成副產品的排放量計算公式如下：</t>
  </si>
  <si>
    <t>其中， 表氣體i轉化生成副產品k之排放量 （單位：公斤）、 表於製程p氣體i之消耗使用量（單位：公斤）、 表於製程p氣體i轉化生成副產品k之排放因子（單位：%）（預設參數，見表6至9）、 表於製程p氣體k之排放量總削減率（單位：%）。</t>
  </si>
  <si>
    <t>其中， 表製程p設備配備適合氣體 k 排放控制技術的排放比例（單位：%）、 表製程設備配備適合氣體 k 排放控制技術的削減率（單位：%），即DRE （預設參數，見表2、3）、 表製程p控制技術之平均正常操作的比例（同上說明）。</t>
  </si>
  <si>
    <r>
      <t>其中，na</t>
    </r>
    <r>
      <rPr>
        <vertAlign val="subscript"/>
        <sz val="12"/>
        <color rgb="FF000000"/>
        <rFont val="Microsoft JhengHei Light"/>
        <family val="2"/>
        <charset val="2"/>
      </rPr>
      <t>k,p,a</t>
    </r>
    <r>
      <rPr>
        <sz val="12"/>
        <color rgb="FF000000"/>
        <rFont val="Microsoft JhengHei Light"/>
        <family val="2"/>
      </rPr>
      <t xml:space="preserve"> 表製程p配備適合控制氣體 k 排放技術之設備數量、nk,p表製程p生成氣體 k的設備總數。</t>
    </r>
  </si>
  <si>
    <t>註：資料來源為2019 IPCC Guidelines for National Greenhouse Gas Inventories, Volume 3 Industrial Processes and Product Use, Chapter 6: Electronics Industry Emissions, equation  6.14、6.17、6.19。</t>
  </si>
  <si>
    <r>
      <t>其中，當排放控制設備製造商未證明碳氫化合物燃料不會與氟化物直接反應時，基於碳氫化合物的燃燒排放控制系統產生的 CF</t>
    </r>
    <r>
      <rPr>
        <vertAlign val="subscript"/>
        <sz val="12"/>
        <color rgb="FF000000"/>
        <rFont val="Microsoft JhengHei Light"/>
        <family val="2"/>
        <charset val="2"/>
      </rPr>
      <t>4</t>
    </r>
    <r>
      <rPr>
        <sz val="12"/>
        <color rgb="FF000000"/>
        <rFont val="Microsoft JhengHei Light"/>
        <family val="2"/>
      </rPr>
      <t xml:space="preserve"> 排放量為EAB</t>
    </r>
    <r>
      <rPr>
        <vertAlign val="subscript"/>
        <sz val="12"/>
        <color rgb="FF000000"/>
        <rFont val="Microsoft JhengHei Light"/>
        <family val="2"/>
        <charset val="2"/>
      </rPr>
      <t>i,CF4</t>
    </r>
    <r>
      <rPr>
        <sz val="12"/>
        <color rgb="FF000000"/>
        <rFont val="Microsoft JhengHei Light"/>
        <family val="2"/>
      </rPr>
      <t>；C</t>
    </r>
    <r>
      <rPr>
        <vertAlign val="subscript"/>
        <sz val="12"/>
        <color rgb="FF000000"/>
        <rFont val="Microsoft JhengHei Light"/>
        <family val="2"/>
        <charset val="2"/>
      </rPr>
      <t>i,p</t>
    </r>
    <r>
      <rPr>
        <sz val="12"/>
        <color rgb="FF000000"/>
        <rFont val="Microsoft JhengHei Light"/>
        <family val="2"/>
      </rPr>
      <t>表氣體i之消耗使用量（單位：公斤） ，僅 RPC 過程中使用的 NF</t>
    </r>
    <r>
      <rPr>
        <vertAlign val="subscript"/>
        <sz val="12"/>
        <color rgb="FF000000"/>
        <rFont val="Microsoft JhengHei Light"/>
        <family val="2"/>
        <charset val="2"/>
      </rPr>
      <t>3</t>
    </r>
    <r>
      <rPr>
        <sz val="12"/>
        <color rgb="FF000000"/>
        <rFont val="Microsoft JhengHei Light"/>
        <family val="2"/>
      </rPr>
      <t xml:space="preserve"> 或用於上式 的 F</t>
    </r>
    <r>
      <rPr>
        <vertAlign val="subscript"/>
        <sz val="12"/>
        <color rgb="FF000000"/>
        <rFont val="Microsoft JhengHei Light"/>
        <family val="2"/>
        <charset val="2"/>
      </rPr>
      <t>2</t>
    </r>
    <r>
      <rPr>
        <sz val="12"/>
        <color rgb="FF000000"/>
        <rFont val="Microsoft JhengHei Light"/>
        <family val="2"/>
      </rPr>
      <t>；U</t>
    </r>
    <r>
      <rPr>
        <vertAlign val="subscript"/>
        <sz val="12"/>
        <color rgb="FF000000"/>
        <rFont val="Microsoft JhengHei Light"/>
        <family val="2"/>
        <charset val="2"/>
      </rPr>
      <t>i,p</t>
    </r>
    <r>
      <rPr>
        <sz val="12"/>
        <color rgb="FF000000"/>
        <rFont val="Microsoft JhengHei Light"/>
        <family val="2"/>
      </rPr>
      <t>表氣體i之利用率（單位：%）（預設參數，見下表8）； p：排放控制系統中連接至經認證不會在排放控制系統內形成 CF</t>
    </r>
    <r>
      <rPr>
        <vertAlign val="subscript"/>
        <sz val="12"/>
        <color rgb="FF000000"/>
        <rFont val="Microsoft JhengHei Light"/>
        <family val="2"/>
        <charset val="2"/>
      </rPr>
      <t>4</t>
    </r>
    <r>
      <rPr>
        <sz val="12"/>
        <color rgb="FF000000"/>
        <rFont val="Microsoft JhengHei Light"/>
        <family val="2"/>
      </rPr>
      <t xml:space="preserve"> 個數與連接至設施中排放控制系統總數的比率；AB</t>
    </r>
    <r>
      <rPr>
        <vertAlign val="subscript"/>
        <sz val="12"/>
        <color rgb="FF000000"/>
        <rFont val="Microsoft JhengHei Light"/>
        <family val="2"/>
        <charset val="2"/>
      </rPr>
      <t>i,CF4</t>
    </r>
    <r>
      <rPr>
        <sz val="12"/>
        <color rgb="FF000000"/>
        <rFont val="Microsoft JhengHei Light"/>
        <family val="2"/>
      </rPr>
      <t>：如果排放控制設備供應商能夠證明從 F</t>
    </r>
    <r>
      <rPr>
        <vertAlign val="subscript"/>
        <sz val="12"/>
        <color rgb="FF000000"/>
        <rFont val="Microsoft JhengHei Light"/>
        <family val="2"/>
        <charset val="2"/>
      </rPr>
      <t>2</t>
    </r>
    <r>
      <rPr>
        <sz val="12"/>
        <color rgb="FF000000"/>
        <rFont val="Microsoft JhengHei Light"/>
        <family val="2"/>
      </rPr>
      <t xml:space="preserve"> 到 CF</t>
    </r>
    <r>
      <rPr>
        <vertAlign val="subscript"/>
        <sz val="12"/>
        <color rgb="FF000000"/>
        <rFont val="Microsoft JhengHei Light"/>
        <family val="2"/>
        <charset val="2"/>
      </rPr>
      <t>4</t>
    </r>
    <r>
      <rPr>
        <sz val="12"/>
        <color rgb="FF000000"/>
        <rFont val="Microsoft JhengHei Light"/>
        <family val="2"/>
      </rPr>
      <t xml:space="preserve"> 或從 NF</t>
    </r>
    <r>
      <rPr>
        <vertAlign val="subscript"/>
        <sz val="12"/>
        <color rgb="FF000000"/>
        <rFont val="Microsoft JhengHei Light"/>
        <family val="2"/>
        <charset val="2"/>
      </rPr>
      <t>3</t>
    </r>
    <r>
      <rPr>
        <sz val="12"/>
        <color rgb="FF000000"/>
        <rFont val="Microsoft JhengHei Light"/>
        <family val="2"/>
      </rPr>
      <t xml:space="preserve"> 到 CF</t>
    </r>
    <r>
      <rPr>
        <vertAlign val="subscript"/>
        <sz val="12"/>
        <color rgb="FF000000"/>
        <rFont val="Microsoft JhengHei Light"/>
        <family val="2"/>
        <charset val="2"/>
      </rPr>
      <t>4</t>
    </r>
    <r>
      <rPr>
        <sz val="12"/>
        <color rgb="FF000000"/>
        <rFont val="Microsoft JhengHei Light"/>
        <family val="2"/>
      </rPr>
      <t xml:space="preserve"> 的轉換率 &lt;0.1%，則AB</t>
    </r>
    <r>
      <rPr>
        <vertAlign val="subscript"/>
        <sz val="12"/>
        <color rgb="FF000000"/>
        <rFont val="Microsoft JhengHei Light"/>
        <family val="2"/>
        <charset val="2"/>
      </rPr>
      <t>i,CF4</t>
    </r>
    <r>
      <rPr>
        <sz val="12"/>
        <color rgb="FF000000"/>
        <rFont val="Microsoft JhengHei Light"/>
        <family val="2"/>
      </rPr>
      <t>設定為零； 否則，應使用預設值 AB</t>
    </r>
    <r>
      <rPr>
        <vertAlign val="subscript"/>
        <sz val="12"/>
        <color rgb="FF000000"/>
        <rFont val="Microsoft JhengHei Light"/>
        <family val="2"/>
        <charset val="2"/>
      </rPr>
      <t>NF3,CF4</t>
    </r>
    <r>
      <rPr>
        <sz val="12"/>
        <color rgb="FF000000"/>
        <rFont val="Microsoft JhengHei Light"/>
        <family val="2"/>
      </rPr>
      <t xml:space="preserve"> = 0.093 或 AB</t>
    </r>
    <r>
      <rPr>
        <vertAlign val="subscript"/>
        <sz val="12"/>
        <color rgb="FF000000"/>
        <rFont val="Microsoft JhengHei Light"/>
        <family val="2"/>
        <charset val="2"/>
      </rPr>
      <t>F2,CF4</t>
    </r>
    <r>
      <rPr>
        <sz val="12"/>
        <color rgb="FF000000"/>
        <rFont val="Microsoft JhengHei Light"/>
        <family val="2"/>
      </rPr>
      <t xml:space="preserve"> = 0.116。</t>
    </r>
  </si>
  <si>
    <t>註：資料來源為2019 IPCC Guidelines for National Greenhouse Gas Inventories, Volume 3 Industrial Processes and Product Use, Chapter 6: Electronics Industry Emissions, equation  6.15。</t>
  </si>
  <si>
    <r>
      <t>表6、Tier 2c氣體之利用率及其轉化生成副產品之排放因子（半導體及MEMS之晶圓尺寸</t>
    </r>
    <r>
      <rPr>
        <b/>
        <sz val="12"/>
        <color rgb="FF000000"/>
        <rFont val="新細明體"/>
        <family val="1"/>
        <charset val="136"/>
      </rPr>
      <t>≤</t>
    </r>
    <r>
      <rPr>
        <b/>
        <sz val="12"/>
        <color rgb="FF000000"/>
        <rFont val="Microsoft JhengHei Light"/>
        <family val="2"/>
      </rPr>
      <t>200 mm）</t>
    </r>
  </si>
  <si>
    <r>
      <t>晶圓尺寸</t>
    </r>
    <r>
      <rPr>
        <sz val="12"/>
        <color rgb="FF000000"/>
        <rFont val="Times New Roman"/>
        <family val="1"/>
      </rPr>
      <t>≤</t>
    </r>
    <r>
      <rPr>
        <sz val="12"/>
        <color rgb="FF000000"/>
        <rFont val="Microsoft JhengHei Light"/>
        <family val="2"/>
      </rPr>
      <t>200 mm之預設排放係數（半導體及MEMS適用）</t>
    </r>
  </si>
  <si>
    <t>EWC</t>
  </si>
  <si>
    <t>RPC</t>
  </si>
  <si>
    <t>IPC</t>
  </si>
  <si>
    <t>TFD</t>
  </si>
  <si>
    <r>
      <t>註1：NA表「不適用」、NM表「已知會排放但經未測量」。如果使用新的氣體和製程其質量百分比占氟化物消耗量的1% 以下時，且（1-U</t>
    </r>
    <r>
      <rPr>
        <vertAlign val="subscript"/>
        <sz val="12"/>
        <color rgb="FF000000"/>
        <rFont val="Microsoft JhengHei Light"/>
        <family val="2"/>
        <charset val="2"/>
      </rPr>
      <t>i</t>
    </r>
    <r>
      <rPr>
        <sz val="12"/>
        <color rgb="FF000000"/>
        <rFont val="Microsoft JhengHei Light"/>
        <family val="2"/>
      </rPr>
      <t>） 為NM 或未列出，則可假設（1-U</t>
    </r>
    <r>
      <rPr>
        <vertAlign val="subscript"/>
        <sz val="12"/>
        <color rgb="FF000000"/>
        <rFont val="Microsoft JhengHei Light"/>
        <family val="2"/>
        <charset val="2"/>
      </rPr>
      <t>i</t>
    </r>
    <r>
      <rPr>
        <sz val="12"/>
        <color rgb="FF000000"/>
        <rFont val="Microsoft JhengHei Light"/>
        <family val="2"/>
      </rPr>
      <t>） = 0.8， B</t>
    </r>
    <r>
      <rPr>
        <vertAlign val="subscript"/>
        <sz val="12"/>
        <color rgb="FF000000"/>
        <rFont val="Microsoft JhengHei Light"/>
        <family val="2"/>
        <charset val="2"/>
      </rPr>
      <t>CF4</t>
    </r>
    <r>
      <rPr>
        <sz val="12"/>
        <color rgb="FF000000"/>
        <rFont val="Microsoft JhengHei Light"/>
        <family val="2"/>
      </rPr>
      <t xml:space="preserve"> = 0.15， B</t>
    </r>
    <r>
      <rPr>
        <vertAlign val="subscript"/>
        <sz val="12"/>
        <color rgb="FF000000"/>
        <rFont val="Microsoft JhengHei Light"/>
        <family val="2"/>
        <charset val="2"/>
      </rPr>
      <t>C2F6</t>
    </r>
    <r>
      <rPr>
        <sz val="12"/>
        <color rgb="FF000000"/>
        <rFont val="Microsoft JhengHei Light"/>
        <family val="2"/>
      </rPr>
      <t xml:space="preserve"> = 0.05。</t>
    </r>
  </si>
  <si>
    <t>註2：資料來源為2019 IPCC Guidelines for National Greenhouse Gas Inventories, Volume 3 Industrial Processes and Product Use, Chapter 6: Electronics Industry Emissions, table 6.10。</t>
  </si>
  <si>
    <t>表7、Tier 2c氣體之利用率及其轉化生成副產品之排放因子（半導體及MEMS之晶圓尺寸300 mm）</t>
  </si>
  <si>
    <t>晶圓尺寸300 mm之預設排放係數（半導體及MEMS適用）</t>
  </si>
  <si>
    <t>ITC</t>
  </si>
  <si>
    <t>註2：資料來源為2019 IPCC Guidelines for National Greenhouse Gas Inventories, Volume 3 Industrial Processes and Product Use, Chapter 6: Electronics Industry Emissions, table 6.11。</t>
  </si>
  <si>
    <t>表8、Tier 2c氣體之利用率及其轉化生成副產品之排放因子（顯示器）</t>
  </si>
  <si>
    <t>預設排放係數（顯示器適用）</t>
  </si>
  <si>
    <r>
      <t>N</t>
    </r>
    <r>
      <rPr>
        <vertAlign val="subscript"/>
        <sz val="12"/>
        <color rgb="FF000000"/>
        <rFont val="Microsoft JhengHei Light"/>
        <family val="2"/>
        <charset val="2"/>
      </rPr>
      <t>2</t>
    </r>
    <r>
      <rPr>
        <sz val="12"/>
        <color rgb="FF000000"/>
        <rFont val="Microsoft JhengHei Light"/>
        <family val="2"/>
      </rPr>
      <t xml:space="preserve">O </t>
    </r>
  </si>
  <si>
    <t>蝕刻</t>
  </si>
  <si>
    <t>註1：NA表「不適用」。</t>
  </si>
  <si>
    <t>註2：資料來源為2019 IPCC Guidelines for National Greenhouse Gas Inventories, Volume 3 Industrial Processes and Product Use, Chapter 6: Electronics Industry Emissions, table 6.12。</t>
  </si>
  <si>
    <t>表9、Tier 2c氣體之利用率及其轉化生成副產品之排放因子（太陽光電）</t>
  </si>
  <si>
    <t>預設排放係數 （太陽光電適用）</t>
  </si>
  <si>
    <r>
      <t>c-C</t>
    </r>
    <r>
      <rPr>
        <vertAlign val="subscript"/>
        <sz val="12"/>
        <color rgb="FF000000"/>
        <rFont val="Microsoft JhengHei Light"/>
        <family val="2"/>
        <charset val="2"/>
      </rPr>
      <t>4</t>
    </r>
    <r>
      <rPr>
        <sz val="12"/>
        <color rgb="FF000000"/>
        <rFont val="Microsoft JhengHei Light"/>
        <family val="2"/>
      </rPr>
      <t>F</t>
    </r>
    <r>
      <rPr>
        <vertAlign val="subscript"/>
        <sz val="12"/>
        <color rgb="FF000000"/>
        <rFont val="Microsoft JhengHei Light"/>
        <family val="2"/>
        <charset val="2"/>
      </rPr>
      <t>8</t>
    </r>
    <r>
      <rPr>
        <sz val="12"/>
        <color rgb="FF000000"/>
        <rFont val="Microsoft JhengHei Light"/>
        <family val="2"/>
      </rPr>
      <t>O</t>
    </r>
  </si>
  <si>
    <r>
      <t>Etch
1-U</t>
    </r>
    <r>
      <rPr>
        <vertAlign val="subscript"/>
        <sz val="12"/>
        <color rgb="FF000000"/>
        <rFont val="Microsoft JhengHei Light"/>
        <family val="2"/>
        <charset val="2"/>
      </rPr>
      <t>i</t>
    </r>
  </si>
  <si>
    <r>
      <t>TFD
1-U</t>
    </r>
    <r>
      <rPr>
        <vertAlign val="subscript"/>
        <sz val="12"/>
        <color rgb="FF000000"/>
        <rFont val="Microsoft JhengHei Light"/>
        <family val="2"/>
        <charset val="2"/>
      </rPr>
      <t>i</t>
    </r>
  </si>
  <si>
    <r>
      <t>Etch
B</t>
    </r>
    <r>
      <rPr>
        <vertAlign val="subscript"/>
        <sz val="12"/>
        <color rgb="FF000000"/>
        <rFont val="Microsoft JhengHei Light"/>
        <family val="2"/>
        <charset val="2"/>
      </rPr>
      <t>CF4</t>
    </r>
  </si>
  <si>
    <r>
      <t>Etch
B</t>
    </r>
    <r>
      <rPr>
        <vertAlign val="subscript"/>
        <sz val="12"/>
        <color rgb="FF000000"/>
        <rFont val="Microsoft JhengHei Light"/>
        <family val="2"/>
        <charset val="2"/>
      </rPr>
      <t>C2F6</t>
    </r>
  </si>
  <si>
    <r>
      <t>TFD
B</t>
    </r>
    <r>
      <rPr>
        <vertAlign val="subscript"/>
        <sz val="12"/>
        <color rgb="FF000000"/>
        <rFont val="Microsoft JhengHei Light"/>
        <family val="2"/>
        <charset val="2"/>
      </rPr>
      <t>CF4</t>
    </r>
  </si>
  <si>
    <t>註2：資料來源為2019 IPCC Guidelines for National Greenhouse Gas Inventories, Volume 3 Industrial Processes and Product Use, Chapter 6: Electronics Industry Emissions, table 6.13。</t>
  </si>
  <si>
    <t xml:space="preserve"> （二） 以產品為基礎計算（僅適用於事業試營運中且無相關操作紀錄者）</t>
  </si>
  <si>
    <r>
      <t>半導體排放係數</t>
    </r>
    <r>
      <rPr>
        <vertAlign val="superscript"/>
        <sz val="12"/>
        <color rgb="FF000000"/>
        <rFont val="Microsoft JhengHei Light"/>
        <family val="2"/>
        <charset val="2"/>
      </rPr>
      <t>註</t>
    </r>
    <r>
      <rPr>
        <sz val="12"/>
        <color rgb="FF000000"/>
        <rFont val="Microsoft JhengHei Light"/>
        <family val="2"/>
      </rPr>
      <t>單位晶圓面積排放量
（公斤/平方米）（kg/m</t>
    </r>
    <r>
      <rPr>
        <vertAlign val="superscript"/>
        <sz val="12"/>
        <color rgb="FF000000"/>
        <rFont val="Microsoft JhengHei Light"/>
        <family val="2"/>
        <charset val="2"/>
      </rPr>
      <t>2</t>
    </r>
    <r>
      <rPr>
        <sz val="12"/>
        <color rgb="FF000000"/>
        <rFont val="Microsoft JhengHei Light"/>
        <family val="2"/>
      </rPr>
      <t>）</t>
    </r>
  </si>
  <si>
    <r>
      <t>顯示器排放係數單位Array製程投入玻璃基板面積排放量
（公克/平方米）（g/m</t>
    </r>
    <r>
      <rPr>
        <vertAlign val="superscript"/>
        <sz val="12"/>
        <color rgb="FF000000"/>
        <rFont val="Microsoft JhengHei Light"/>
        <family val="2"/>
        <charset val="2"/>
      </rPr>
      <t>2</t>
    </r>
    <r>
      <rPr>
        <sz val="12"/>
        <color rgb="FF000000"/>
        <rFont val="Microsoft JhengHei Light"/>
        <family val="2"/>
      </rPr>
      <t>）</t>
    </r>
  </si>
  <si>
    <r>
      <t>太陽光電排放係數單位太陽光電板面積排放量
（公克/平方米）（g/m</t>
    </r>
    <r>
      <rPr>
        <vertAlign val="superscript"/>
        <sz val="12"/>
        <color rgb="FF000000"/>
        <rFont val="Microsoft JhengHei Light"/>
        <family val="2"/>
        <charset val="2"/>
      </rPr>
      <t>2</t>
    </r>
    <r>
      <rPr>
        <sz val="12"/>
        <color rgb="FF000000"/>
        <rFont val="Microsoft JhengHei Light"/>
        <family val="2"/>
      </rPr>
      <t>）</t>
    </r>
  </si>
  <si>
    <r>
      <t>熱傳導流體排放係數單位微機電產品面積排放係數
（公斤/平方米）（kg/m</t>
    </r>
    <r>
      <rPr>
        <vertAlign val="superscript"/>
        <sz val="12"/>
        <color rgb="FF000000"/>
        <rFont val="Microsoft JhengHei Light"/>
        <family val="2"/>
        <charset val="2"/>
      </rPr>
      <t>2</t>
    </r>
    <r>
      <rPr>
        <sz val="12"/>
        <color rgb="FF000000"/>
        <rFont val="Microsoft JhengHei Light"/>
        <family val="2"/>
      </rPr>
      <t>）</t>
    </r>
  </si>
  <si>
    <t>註1：半導體排放係數是假設 200 mm 與 300 mm之生產比例為 50/50，故適用於晶圓尺寸為200 mm以下者。</t>
  </si>
  <si>
    <t>註2：資料來源為2019 IPCC Guidelines for National Greenhouse Gas Inventories, Volume 3 Industrial Processes and Product Use, Chapter 6: Electronics Industry Emissions, table 6.6。</t>
  </si>
  <si>
    <r>
      <t>甲烷排放係數（公斤 CH</t>
    </r>
    <r>
      <rPr>
        <vertAlign val="subscript"/>
        <sz val="12"/>
        <color rgb="FF000000"/>
        <rFont val="微軟正黑體"/>
        <family val="2"/>
        <charset val="136"/>
      </rPr>
      <t>4</t>
    </r>
    <r>
      <rPr>
        <sz val="12"/>
        <color rgb="FF000000"/>
        <rFont val="微軟正黑體"/>
        <family val="2"/>
        <charset val="136"/>
      </rPr>
      <t>/公斤 BOD或COD）＝B</t>
    </r>
    <r>
      <rPr>
        <vertAlign val="subscript"/>
        <sz val="12"/>
        <color rgb="FF000000"/>
        <rFont val="微軟正黑體"/>
        <family val="2"/>
        <charset val="136"/>
      </rPr>
      <t>o</t>
    </r>
    <r>
      <rPr>
        <sz val="12"/>
        <color rgb="FF000000"/>
        <rFont val="微軟正黑體"/>
        <family val="2"/>
        <charset val="136"/>
      </rPr>
      <t xml:space="preserve"> ×MCF</t>
    </r>
    <r>
      <rPr>
        <vertAlign val="subscript"/>
        <sz val="12"/>
        <color rgb="FF000000"/>
        <rFont val="微軟正黑體"/>
        <family val="2"/>
        <charset val="136"/>
      </rPr>
      <t>j</t>
    </r>
  </si>
  <si>
    <r>
      <t>其中，B</t>
    </r>
    <r>
      <rPr>
        <vertAlign val="subscript"/>
        <sz val="12"/>
        <color rgb="FF000000"/>
        <rFont val="微軟正黑體"/>
        <family val="2"/>
        <charset val="136"/>
      </rPr>
      <t>o</t>
    </r>
    <r>
      <rPr>
        <sz val="12"/>
        <color rgb="FF000000"/>
        <rFont val="微軟正黑體"/>
        <family val="2"/>
        <charset val="136"/>
      </rPr>
      <t>表最大甲烷產生量 （公斤甲烷/公斤BOD或COD）（見表1）；MCF</t>
    </r>
    <r>
      <rPr>
        <vertAlign val="subscript"/>
        <sz val="12"/>
        <color rgb="FF000000"/>
        <rFont val="微軟正黑體"/>
        <family val="2"/>
        <charset val="136"/>
      </rPr>
      <t>j</t>
    </r>
    <r>
      <rPr>
        <sz val="12"/>
        <color rgb="FF000000"/>
        <rFont val="微軟正黑體"/>
        <family val="2"/>
        <charset val="136"/>
      </rPr>
      <t>表甲烷修正係數（見下表2）。</t>
    </r>
  </si>
  <si>
    <t>註：資料來源為2006 IPCC Guidelines for National Greenhouse Gas Inventories, Volume 5 Waste, Chapter 6: Wastewater Treatment and Discharge, equation 6.2。</t>
  </si>
  <si>
    <t>表1、最大甲烷產生量</t>
  </si>
  <si>
    <r>
      <t>最大甲烷產生量（</t>
    </r>
    <r>
      <rPr>
        <i/>
        <sz val="12"/>
        <color rgb="FF000000"/>
        <rFont val="微軟正黑體"/>
        <family val="2"/>
        <charset val="136"/>
      </rPr>
      <t>B</t>
    </r>
    <r>
      <rPr>
        <i/>
        <vertAlign val="subscript"/>
        <sz val="12"/>
        <color rgb="FF000000"/>
        <rFont val="微軟正黑體"/>
        <family val="2"/>
        <charset val="136"/>
      </rPr>
      <t>o</t>
    </r>
    <r>
      <rPr>
        <sz val="12"/>
        <color rgb="FF000000"/>
        <rFont val="微軟正黑體"/>
        <family val="2"/>
        <charset val="136"/>
      </rPr>
      <t>）</t>
    </r>
  </si>
  <si>
    <r>
      <t>0.6 （公斤甲烷/公斤BOD）（kg CH</t>
    </r>
    <r>
      <rPr>
        <vertAlign val="subscript"/>
        <sz val="12"/>
        <color rgb="FF000000"/>
        <rFont val="微軟正黑體"/>
        <family val="2"/>
        <charset val="136"/>
      </rPr>
      <t>4</t>
    </r>
    <r>
      <rPr>
        <sz val="12"/>
        <color rgb="FF000000"/>
        <rFont val="微軟正黑體"/>
        <family val="2"/>
        <charset val="136"/>
      </rPr>
      <t>/kg BOD）</t>
    </r>
  </si>
  <si>
    <r>
      <t>0.25 （公斤甲烷/公斤COD）（kg CH</t>
    </r>
    <r>
      <rPr>
        <vertAlign val="subscript"/>
        <sz val="12"/>
        <color rgb="FF000000"/>
        <rFont val="微軟正黑體"/>
        <family val="2"/>
        <charset val="136"/>
      </rPr>
      <t>4</t>
    </r>
    <r>
      <rPr>
        <sz val="12"/>
        <color rgb="FF000000"/>
        <rFont val="微軟正黑體"/>
        <family val="2"/>
        <charset val="136"/>
      </rPr>
      <t>/kg COD）</t>
    </r>
  </si>
  <si>
    <t>註：資料來源為2006 IPCC Guidelines for National Greenhouse Gas Inventories, Volume 5 Waste, Chapter 6: Wastewater Treatment and Discharge, table 6.2。</t>
  </si>
  <si>
    <t>表2、甲烷修正係數</t>
  </si>
  <si>
    <t>處理系統</t>
  </si>
  <si>
    <r>
      <t>甲烷修正係數（</t>
    </r>
    <r>
      <rPr>
        <i/>
        <sz val="12"/>
        <color rgb="FF000000"/>
        <rFont val="微軟正黑體"/>
        <family val="2"/>
        <charset val="136"/>
      </rPr>
      <t>MCF</t>
    </r>
    <r>
      <rPr>
        <i/>
        <vertAlign val="subscript"/>
        <sz val="12"/>
        <color rgb="FF000000"/>
        <rFont val="微軟正黑體"/>
        <family val="2"/>
        <charset val="136"/>
      </rPr>
      <t>j</t>
    </r>
    <r>
      <rPr>
        <sz val="12"/>
        <color rgb="FF000000"/>
        <rFont val="微軟正黑體"/>
        <family val="2"/>
        <charset val="136"/>
      </rPr>
      <t>）</t>
    </r>
  </si>
  <si>
    <t>範圍</t>
  </si>
  <si>
    <t>未經處理的系統</t>
  </si>
  <si>
    <t>海洋、河、湖排放</t>
  </si>
  <si>
    <t>0-0.2</t>
  </si>
  <si>
    <t>不流動的下水道</t>
  </si>
  <si>
    <t>0.4-0.8</t>
  </si>
  <si>
    <t>流動順暢的下水道</t>
  </si>
  <si>
    <t>經處理的系統</t>
  </si>
  <si>
    <t>好氧處理（妥善管理）</t>
  </si>
  <si>
    <t>0-0.1</t>
  </si>
  <si>
    <t>好氧處理（未妥善管理，過載）</t>
  </si>
  <si>
    <t>0.2-0.4</t>
  </si>
  <si>
    <t>污泥厭氧消化處理</t>
  </si>
  <si>
    <t>0.8-1.0</t>
  </si>
  <si>
    <t>厭氧反應</t>
  </si>
  <si>
    <t>淺厭氧塘</t>
  </si>
  <si>
    <t>0-0.3</t>
  </si>
  <si>
    <t>深厭氧塘</t>
  </si>
  <si>
    <t>化糞池系統</t>
  </si>
  <si>
    <t>公共廁所(3~5人)</t>
  </si>
  <si>
    <t>0.05-0.15</t>
  </si>
  <si>
    <t>公共廁所(多人)</t>
  </si>
  <si>
    <t>0.4-0.6</t>
  </si>
  <si>
    <t>公共廁所(地表水面高於公廁)</t>
  </si>
  <si>
    <t>0.7-1.0</t>
  </si>
  <si>
    <t>公共廁所(堆肥定期移除)</t>
  </si>
  <si>
    <t>註：資料來源為2006 IPCC Guidelines for National Greenhouse Gas Inventories, Volume 5 Waste, Chapter 6: Wastewater Treatment and Discharge, table 6.3。</t>
  </si>
  <si>
    <r>
      <t>甲烷排放量（公斤/年）＝B</t>
    </r>
    <r>
      <rPr>
        <vertAlign val="subscript"/>
        <sz val="12"/>
        <color rgb="FF000000"/>
        <rFont val="微軟正黑體"/>
        <family val="2"/>
        <charset val="136"/>
      </rPr>
      <t>o</t>
    </r>
    <r>
      <rPr>
        <sz val="12"/>
        <color rgb="FF000000"/>
        <rFont val="微軟正黑體"/>
        <family val="2"/>
        <charset val="136"/>
      </rPr>
      <t xml:space="preserve"> ×MCF</t>
    </r>
    <r>
      <rPr>
        <vertAlign val="subscript"/>
        <sz val="12"/>
        <color rgb="FF000000"/>
        <rFont val="微軟正黑體"/>
        <family val="2"/>
        <charset val="136"/>
      </rPr>
      <t>j</t>
    </r>
  </si>
  <si>
    <r>
      <t>B</t>
    </r>
    <r>
      <rPr>
        <vertAlign val="subscript"/>
        <sz val="12"/>
        <color rgb="FF000000"/>
        <rFont val="微軟正黑體"/>
        <family val="2"/>
        <charset val="136"/>
      </rPr>
      <t>o</t>
    </r>
    <r>
      <rPr>
        <sz val="12"/>
        <color rgb="FF000000"/>
        <rFont val="微軟正黑體"/>
        <family val="2"/>
        <charset val="136"/>
      </rPr>
      <t>表最大甲烷產生量，預設值為0.25（公斤甲烷/公斤COD）；MCF</t>
    </r>
    <r>
      <rPr>
        <vertAlign val="subscript"/>
        <sz val="12"/>
        <color rgb="FF000000"/>
        <rFont val="微軟正黑體"/>
        <family val="2"/>
        <charset val="136"/>
      </rPr>
      <t>j</t>
    </r>
    <r>
      <rPr>
        <sz val="12"/>
        <color rgb="FF000000"/>
        <rFont val="微軟正黑體"/>
        <family val="2"/>
        <charset val="136"/>
      </rPr>
      <t>表甲烷修正係數（預設參數，見下表）。</t>
    </r>
  </si>
  <si>
    <t>註：資料來源為2006 IPCC Guidelines for National Greenhouse Gas Inventories, Volume 5 Waste, Chapter 6: Wastewater Treatment and Discharge, equation 6.4。</t>
  </si>
  <si>
    <t>排放至海、河與湖</t>
  </si>
  <si>
    <t>厭氧污泥消化處理</t>
  </si>
  <si>
    <t>淺水之厭氧反應（深度不足2米)</t>
  </si>
  <si>
    <t>深水之厭氧反應（深度超過2米)</t>
  </si>
  <si>
    <t>註：資料來源為2006 IPCC Guidelines for National Greenhouse Gas Inventories, Volume 5 Waste, Chapter 6: Wastewater Treatment and Discharge, table 6.8。</t>
  </si>
  <si>
    <t>設備名稱</t>
  </si>
  <si>
    <t>（初使填充量之%/年）</t>
  </si>
  <si>
    <t>初始排放</t>
  </si>
  <si>
    <t>運行排放</t>
  </si>
  <si>
    <t>家用的冷凍、冷藏裝備</t>
  </si>
  <si>
    <t>0.2 - 1</t>
  </si>
  <si>
    <t>0.1 - 0.5</t>
  </si>
  <si>
    <t>獨立商用的冷凍、冷藏裝備</t>
  </si>
  <si>
    <t>0.5 - 3</t>
  </si>
  <si>
    <t>1-15</t>
  </si>
  <si>
    <t>中、大型的冷凍、冷藏裝備</t>
  </si>
  <si>
    <t>10 - 35</t>
  </si>
  <si>
    <t>運輸用的冷凍、冷藏裝備</t>
  </si>
  <si>
    <t>15 - 50</t>
  </si>
  <si>
    <t>工業冷凍、冷藏裝備，包括食品加工及冷藏</t>
  </si>
  <si>
    <t>7-25</t>
  </si>
  <si>
    <t>冰水機</t>
  </si>
  <si>
    <t>2-15</t>
  </si>
  <si>
    <t>住宅及商業建築空調</t>
  </si>
  <si>
    <t>1-10</t>
  </si>
  <si>
    <t>車輛空調冷媒</t>
  </si>
  <si>
    <t>0.2 – 0.5</t>
  </si>
  <si>
    <t>10 - 20</t>
  </si>
  <si>
    <t>註：資料來源為2006 IPCC Guidelines for National Greenhouse Gas Inventories, Volume 3 Industrial Processes and Product Use, Chapter 7: Emissions of Fluorinated Substitutes for Ozone Depleting Substances, table 7.9。</t>
  </si>
  <si>
    <t xml:space="preserve"> （一）固體廢棄物掩埋</t>
  </si>
  <si>
    <r>
      <t>甲烷排放量（吉克/年）= (DDOCm decomp</t>
    </r>
    <r>
      <rPr>
        <vertAlign val="subscript"/>
        <sz val="12"/>
        <color rgb="FF000000"/>
        <rFont val="微軟正黑體"/>
        <family val="2"/>
        <charset val="136"/>
      </rPr>
      <t>T</t>
    </r>
    <r>
      <rPr>
        <sz val="12"/>
        <color rgb="FF000000"/>
        <rFont val="微軟正黑體"/>
        <family val="2"/>
        <charset val="136"/>
      </rPr>
      <t>× F × 16/12－R） × (1</t>
    </r>
    <r>
      <rPr>
        <sz val="12"/>
        <color rgb="FF000000"/>
        <rFont val="Arial"/>
        <family val="2"/>
      </rPr>
      <t>‒</t>
    </r>
    <r>
      <rPr>
        <sz val="12"/>
        <color rgb="FF000000"/>
        <rFont val="微軟正黑體"/>
        <family val="2"/>
        <charset val="136"/>
      </rPr>
      <t xml:space="preserve"> OX) </t>
    </r>
  </si>
  <si>
    <r>
      <t>其中，DDOCm decomp</t>
    </r>
    <r>
      <rPr>
        <vertAlign val="subscript"/>
        <sz val="12"/>
        <color rgb="FF000000"/>
        <rFont val="微軟正黑體"/>
        <family val="2"/>
        <charset val="136"/>
      </rPr>
      <t>T</t>
    </r>
    <r>
      <rPr>
        <sz val="12"/>
        <color rgb="FF000000"/>
        <rFont val="微軟正黑體"/>
        <family val="2"/>
        <charset val="136"/>
      </rPr>
      <t>表第T年可分解之DDOCm（吉克/年）；F表掩埋場產氣中甲烷之體積比例（預設為0.5）；16/12表分子量比例（CH</t>
    </r>
    <r>
      <rPr>
        <vertAlign val="subscript"/>
        <sz val="12"/>
        <color rgb="FF000000"/>
        <rFont val="微軟正黑體"/>
        <family val="2"/>
        <charset val="136"/>
      </rPr>
      <t>4</t>
    </r>
    <r>
      <rPr>
        <sz val="12"/>
        <color rgb="FF000000"/>
        <rFont val="微軟正黑體"/>
        <family val="2"/>
        <charset val="136"/>
      </rPr>
      <t>/C）；R表甲烷回收量（吉克/年）；OX表氧化係數（預設值為 0）（預設參數，見表1）；並假設甲烷排放與過去固體廢棄物之沉積無關。</t>
    </r>
  </si>
  <si>
    <r>
      <t>DDOCm （吉克/年） ＝ W×MCF×DOC×DOC</t>
    </r>
    <r>
      <rPr>
        <vertAlign val="subscript"/>
        <sz val="12"/>
        <color rgb="FF000000"/>
        <rFont val="微軟正黑體"/>
        <family val="2"/>
        <charset val="136"/>
      </rPr>
      <t>F</t>
    </r>
  </si>
  <si>
    <r>
      <t>其中， W表廢棄物掩埋量（mass of waste deposited）（吉克/年）；MCF表甲烷修正係數（預設參數，見表2）；DOC 表可分解有機碳含量（比例）（預設參數，見表3）；DOC</t>
    </r>
    <r>
      <rPr>
        <vertAlign val="subscript"/>
        <sz val="12"/>
        <color rgb="FF000000"/>
        <rFont val="微軟正黑體"/>
        <family val="2"/>
        <charset val="136"/>
      </rPr>
      <t>F</t>
    </r>
    <r>
      <rPr>
        <sz val="12"/>
        <color rgb="FF000000"/>
        <rFont val="微軟正黑體"/>
        <family val="2"/>
        <charset val="136"/>
      </rPr>
      <t>表可分解有機碳比例。</t>
    </r>
  </si>
  <si>
    <t>註：資料來源為2006 IPCC Guidelines for National Greenhouse Gas Inventories, Volume 5 Waste, Chapter 3: Solid Waste Disposal, equation 3.1、3.2、3.6。</t>
  </si>
  <si>
    <t>表1、氧化係數（OX）</t>
  </si>
  <si>
    <t>掩埋場型式</t>
  </si>
  <si>
    <t>氧化係數（OX）預設值</t>
  </si>
  <si>
    <r>
      <t>管理、未妥善管理和未分類</t>
    </r>
    <r>
      <rPr>
        <vertAlign val="superscript"/>
        <sz val="12"/>
        <color rgb="FF000000"/>
        <rFont val="微軟正黑體"/>
        <family val="2"/>
        <charset val="136"/>
      </rPr>
      <t>註1</t>
    </r>
  </si>
  <si>
    <r>
      <t>覆蓋有CH</t>
    </r>
    <r>
      <rPr>
        <vertAlign val="subscript"/>
        <sz val="12"/>
        <color rgb="FF000000"/>
        <rFont val="微軟正黑體"/>
        <family val="2"/>
        <charset val="136"/>
      </rPr>
      <t>4</t>
    </r>
    <r>
      <rPr>
        <sz val="12"/>
        <color rgb="FF000000"/>
        <rFont val="微軟正黑體"/>
        <family val="2"/>
        <charset val="136"/>
      </rPr>
      <t>氧化材料</t>
    </r>
    <r>
      <rPr>
        <vertAlign val="superscript"/>
        <sz val="12"/>
        <color rgb="FF000000"/>
        <rFont val="微軟正黑體"/>
        <family val="2"/>
        <charset val="136"/>
      </rPr>
      <t>註2</t>
    </r>
  </si>
  <si>
    <t>註1：管理但未覆蓋通風材料。</t>
  </si>
  <si>
    <t>註2：例如土壤、堆肥。</t>
  </si>
  <si>
    <t>註3：資料來源為2006 IPCC Guidelines for National Greenhouse Gas Inventories, Volume 5 Waste, Chapter 3: Solid Waste Disposal, table 3.2。</t>
  </si>
  <si>
    <t>表2、固體廢棄物掩埋（SWDS）分類和甲烷修正係數（MCF）</t>
  </si>
  <si>
    <t>甲烷修正係數預設值</t>
  </si>
  <si>
    <t>妥善管理之掩埋場（厭氧）</t>
  </si>
  <si>
    <t>妥善管理之掩埋場（好氧）</t>
  </si>
  <si>
    <r>
      <t xml:space="preserve">未妥善管理之掩埋場（深層，掩埋深度 </t>
    </r>
    <r>
      <rPr>
        <sz val="12"/>
        <color rgb="FF000000"/>
        <rFont val="Times New Roman"/>
        <family val="1"/>
      </rPr>
      <t>≥</t>
    </r>
    <r>
      <rPr>
        <sz val="12"/>
        <color rgb="FF000000"/>
        <rFont val="微軟正黑體"/>
        <family val="2"/>
        <charset val="136"/>
      </rPr>
      <t xml:space="preserve"> 5公尺）</t>
    </r>
  </si>
  <si>
    <t>未妥善管理之掩埋場（淺層，掩埋深度 &lt; 5公尺）</t>
  </si>
  <si>
    <r>
      <t>未分類之掩埋場</t>
    </r>
    <r>
      <rPr>
        <vertAlign val="superscript"/>
        <sz val="12"/>
        <color rgb="FF000000"/>
        <rFont val="微軟正黑體"/>
        <family val="2"/>
        <charset val="136"/>
      </rPr>
      <t xml:space="preserve"> 註1</t>
    </r>
  </si>
  <si>
    <t>註1：只有不能將其固體廢棄掩埋歸類於上述四種類別時，才可使用此類別的甲烷修正因子。</t>
  </si>
  <si>
    <t>註2：資料來源為2006 IPCC Guidelines for National Greenhouse Gas Inventories, Volume 5 Waste, Chapter 3: Solid Waste Disposal, table 3.1。</t>
  </si>
  <si>
    <t>表3、可分解有機碳含量（DOC）</t>
  </si>
  <si>
    <t xml:space="preserve">                                        成分
廢棄物種類</t>
  </si>
  <si>
    <t>乾物質佔濕重之比例（%）</t>
  </si>
  <si>
    <t>DOC 含量占濕廢棄物之比例（%）</t>
  </si>
  <si>
    <t>DOC 含量占乾廢棄物之比例（%）</t>
  </si>
  <si>
    <t>總碳含量占乾重之比例（%）</t>
  </si>
  <si>
    <t>化石碳比例
占總碳之比例（%）</t>
  </si>
  <si>
    <t>紙張/紙板</t>
  </si>
  <si>
    <t>紡織品</t>
  </si>
  <si>
    <t>廚餘</t>
  </si>
  <si>
    <t>-</t>
  </si>
  <si>
    <t>木材</t>
  </si>
  <si>
    <t>庭園、公園廢棄物</t>
  </si>
  <si>
    <t>尿布</t>
  </si>
  <si>
    <t>皮革/橡膠</t>
  </si>
  <si>
    <r>
      <t>39</t>
    </r>
    <r>
      <rPr>
        <vertAlign val="superscript"/>
        <sz val="12"/>
        <color rgb="FF000000"/>
        <rFont val="微軟正黑體"/>
        <family val="2"/>
        <charset val="136"/>
      </rPr>
      <t>註1</t>
    </r>
  </si>
  <si>
    <r>
      <t>47</t>
    </r>
    <r>
      <rPr>
        <vertAlign val="superscript"/>
        <sz val="12"/>
        <color rgb="FF000000"/>
        <rFont val="微軟正黑體"/>
        <family val="2"/>
        <charset val="136"/>
      </rPr>
      <t>註1</t>
    </r>
  </si>
  <si>
    <t>塑膠</t>
  </si>
  <si>
    <t>金屬</t>
  </si>
  <si>
    <t>玻璃</t>
  </si>
  <si>
    <t>其他
（不可燃廢棄物）</t>
  </si>
  <si>
    <t>註1：表示皮革/橡膠在掩埋場厭氧條件下可能不會降解。</t>
  </si>
  <si>
    <t>註2：資料來源為2006 IPCC Guidelines for National Greenhouse Gas Inventories, Volume 5 Waste, Chapter 2: Waste Generation, Composition and Management Data, table 2.4。</t>
  </si>
  <si>
    <t>（二）固體廢棄物生物處理</t>
  </si>
  <si>
    <r>
      <t>甲烷排放量（吉克/年）=(M</t>
    </r>
    <r>
      <rPr>
        <vertAlign val="subscript"/>
        <sz val="12"/>
        <color rgb="FF000000"/>
        <rFont val="微軟正黑體"/>
        <family val="2"/>
        <charset val="136"/>
      </rPr>
      <t>i</t>
    </r>
    <r>
      <rPr>
        <sz val="12"/>
        <color rgb="FF000000"/>
        <rFont val="微軟正黑體"/>
        <family val="2"/>
        <charset val="136"/>
      </rPr>
      <t>×EF</t>
    </r>
    <r>
      <rPr>
        <vertAlign val="subscript"/>
        <sz val="12"/>
        <color rgb="FF000000"/>
        <rFont val="微軟正黑體"/>
        <family val="2"/>
        <charset val="136"/>
      </rPr>
      <t>i</t>
    </r>
    <r>
      <rPr>
        <sz val="12"/>
        <color rgb="FF000000"/>
        <rFont val="微軟正黑體"/>
        <family val="2"/>
        <charset val="136"/>
      </rPr>
      <t>)×10</t>
    </r>
    <r>
      <rPr>
        <vertAlign val="superscript"/>
        <sz val="12"/>
        <color rgb="FF000000"/>
        <rFont val="微軟正黑體"/>
        <family val="2"/>
        <charset val="136"/>
      </rPr>
      <t>-3</t>
    </r>
    <r>
      <rPr>
        <sz val="12"/>
        <color rgb="FF000000"/>
        <rFont val="微軟正黑體"/>
        <family val="2"/>
        <charset val="136"/>
      </rPr>
      <t>－R</t>
    </r>
  </si>
  <si>
    <r>
      <t>其中，M</t>
    </r>
    <r>
      <rPr>
        <vertAlign val="subscript"/>
        <sz val="12"/>
        <color rgb="FF000000"/>
        <rFont val="微軟正黑體"/>
        <family val="2"/>
        <charset val="136"/>
      </rPr>
      <t>i</t>
    </r>
    <r>
      <rPr>
        <sz val="12"/>
        <color rgb="FF000000"/>
        <rFont val="微軟正黑體"/>
        <family val="2"/>
        <charset val="136"/>
      </rPr>
      <t>表生物處理之有機廢棄物質量（吉克/年）；EF</t>
    </r>
    <r>
      <rPr>
        <vertAlign val="subscript"/>
        <sz val="12"/>
        <color rgb="FF000000"/>
        <rFont val="微軟正黑體"/>
        <family val="2"/>
        <charset val="136"/>
      </rPr>
      <t>i</t>
    </r>
    <r>
      <rPr>
        <sz val="12"/>
        <color rgb="FF000000"/>
        <rFont val="微軟正黑體"/>
        <family val="2"/>
        <charset val="136"/>
      </rPr>
      <t>表有機廢棄物厭氧反應產生甲烷之係數（克甲烷/公斤廢棄物)（見下表）；i表堆肥處理或厭氧處理；R表甲烷回收量（吉克/年）。</t>
    </r>
  </si>
  <si>
    <t>生物處理類型</t>
  </si>
  <si>
    <t>甲烷排放係數</t>
  </si>
  <si>
    <t>（克/公斤廢棄物）</t>
  </si>
  <si>
    <t>乾重</t>
  </si>
  <si>
    <t>濕重</t>
  </si>
  <si>
    <t>堆肥處理</t>
  </si>
  <si>
    <t>(0.08-20)</t>
  </si>
  <si>
    <t>(0.03-8)</t>
  </si>
  <si>
    <t>厭氧分解</t>
  </si>
  <si>
    <t>(0-20)</t>
  </si>
  <si>
    <t>(0-8)</t>
  </si>
  <si>
    <t>註：資料來源為2006 IPCC Guidelines for National Greenhouse Gas Inventories, Volume 5 Waste, Chapter 4: Biological Treatment of Solid Waste, equation 4.1、table 4.1。</t>
  </si>
  <si>
    <r>
      <t>氧化亞氮排放量（吉克/年）=(M</t>
    </r>
    <r>
      <rPr>
        <vertAlign val="subscript"/>
        <sz val="12"/>
        <color rgb="FF000000"/>
        <rFont val="微軟正黑體"/>
        <family val="2"/>
        <charset val="136"/>
      </rPr>
      <t>i</t>
    </r>
    <r>
      <rPr>
        <sz val="12"/>
        <color rgb="FF000000"/>
        <rFont val="微軟正黑體"/>
        <family val="2"/>
        <charset val="136"/>
      </rPr>
      <t>×EF</t>
    </r>
    <r>
      <rPr>
        <vertAlign val="subscript"/>
        <sz val="12"/>
        <color rgb="FF000000"/>
        <rFont val="微軟正黑體"/>
        <family val="2"/>
        <charset val="136"/>
      </rPr>
      <t>i</t>
    </r>
    <r>
      <rPr>
        <sz val="12"/>
        <color rgb="FF000000"/>
        <rFont val="微軟正黑體"/>
        <family val="2"/>
        <charset val="136"/>
      </rPr>
      <t>)×10</t>
    </r>
    <r>
      <rPr>
        <vertAlign val="superscript"/>
        <sz val="12"/>
        <color rgb="FF000000"/>
        <rFont val="微軟正黑體"/>
        <family val="2"/>
        <charset val="136"/>
      </rPr>
      <t>-3</t>
    </r>
  </si>
  <si>
    <r>
      <t>M</t>
    </r>
    <r>
      <rPr>
        <vertAlign val="subscript"/>
        <sz val="12"/>
        <color rgb="FF000000"/>
        <rFont val="微軟正黑體"/>
        <family val="2"/>
        <charset val="136"/>
      </rPr>
      <t>i</t>
    </r>
    <r>
      <rPr>
        <sz val="12"/>
        <color rgb="FF000000"/>
        <rFont val="微軟正黑體"/>
        <family val="2"/>
        <charset val="136"/>
      </rPr>
      <t>表生物處理之有機廢棄物量（吉克/年）；EF</t>
    </r>
    <r>
      <rPr>
        <vertAlign val="subscript"/>
        <sz val="12"/>
        <color rgb="FF000000"/>
        <rFont val="微軟正黑體"/>
        <family val="2"/>
        <charset val="136"/>
      </rPr>
      <t>i</t>
    </r>
    <r>
      <rPr>
        <sz val="12"/>
        <color rgb="FF000000"/>
        <rFont val="微軟正黑體"/>
        <family val="2"/>
        <charset val="136"/>
      </rPr>
      <t>表有機廢棄物厭氧反應產生氧化亞氮之係數（克氧化亞氮/公斤廢棄物) （見下表）；i表堆肥處理或厭氧處理。</t>
    </r>
  </si>
  <si>
    <t>氧化亞氮排放係數</t>
  </si>
  <si>
    <t>(0.2-1.6)</t>
  </si>
  <si>
    <t>(0.06-0.6)</t>
  </si>
  <si>
    <t>可忽略不計</t>
  </si>
  <si>
    <t>註：資料來源為2006 IPCC Guidelines for National Greenhouse Gas Inventories, Volume 5 Waste, Chapter 4: Biological Treatment of Solid Waste, equation 4.2、table 4.1。</t>
  </si>
  <si>
    <t>縮寫/通用名稱/化學名稱</t>
  </si>
  <si>
    <t>化學式</t>
  </si>
  <si>
    <t xml:space="preserve">溫暖化潛勢 </t>
  </si>
  <si>
    <t>二氧化碳（Carbon dioxide）</t>
  </si>
  <si>
    <t>甲烷（Methane）</t>
  </si>
  <si>
    <r>
      <t>石化甲烷（Fossil methane）</t>
    </r>
    <r>
      <rPr>
        <vertAlign val="superscript"/>
        <sz val="12"/>
        <color rgb="FF000000"/>
        <rFont val="Microsoft JhengHei Light"/>
        <family val="2"/>
        <charset val="2"/>
      </rPr>
      <t>註1</t>
    </r>
  </si>
  <si>
    <t>氧化亞氮（Nitrous Oxide）</t>
  </si>
  <si>
    <t>氫氟碳化物（Hydrofluorocarbons）</t>
  </si>
  <si>
    <t>三氟甲烷（HFC-23）</t>
  </si>
  <si>
    <t>二氟甲烷（HFC-32）</t>
  </si>
  <si>
    <t>一氟甲烷（HFC-41）</t>
  </si>
  <si>
    <t>1,1,1,2,2-五氟乙烷（HFC-125）</t>
  </si>
  <si>
    <r>
      <t>CHF</t>
    </r>
    <r>
      <rPr>
        <vertAlign val="subscript"/>
        <sz val="12"/>
        <color rgb="FF000000"/>
        <rFont val="Microsoft JhengHei Light"/>
        <family val="2"/>
        <charset val="2"/>
      </rPr>
      <t>2</t>
    </r>
    <r>
      <rPr>
        <sz val="12"/>
        <color rgb="FF000000"/>
        <rFont val="Microsoft JhengHei Light"/>
        <family val="2"/>
      </rPr>
      <t>CF</t>
    </r>
    <r>
      <rPr>
        <vertAlign val="subscript"/>
        <sz val="12"/>
        <color rgb="FF000000"/>
        <rFont val="Microsoft JhengHei Light"/>
        <family val="2"/>
        <charset val="2"/>
      </rPr>
      <t>3</t>
    </r>
  </si>
  <si>
    <t>1,1,2,2-四氟乙烷（HFC-134）</t>
  </si>
  <si>
    <r>
      <t>CHF</t>
    </r>
    <r>
      <rPr>
        <vertAlign val="subscript"/>
        <sz val="12"/>
        <color rgb="FF000000"/>
        <rFont val="Microsoft JhengHei Light"/>
        <family val="2"/>
        <charset val="2"/>
      </rPr>
      <t>2</t>
    </r>
    <r>
      <rPr>
        <sz val="12"/>
        <color rgb="FF000000"/>
        <rFont val="Microsoft JhengHei Light"/>
        <family val="2"/>
      </rPr>
      <t>CHF</t>
    </r>
    <r>
      <rPr>
        <vertAlign val="subscript"/>
        <sz val="12"/>
        <color rgb="FF000000"/>
        <rFont val="Microsoft JhengHei Light"/>
        <family val="2"/>
        <charset val="2"/>
      </rPr>
      <t>2</t>
    </r>
  </si>
  <si>
    <t>1,1,1,2-四氟乙烷（HFC-134a）</t>
  </si>
  <si>
    <r>
      <t>CH</t>
    </r>
    <r>
      <rPr>
        <vertAlign val="subscript"/>
        <sz val="12"/>
        <color rgb="FF000000"/>
        <rFont val="Microsoft JhengHei Light"/>
        <family val="2"/>
        <charset val="2"/>
      </rPr>
      <t>2</t>
    </r>
    <r>
      <rPr>
        <sz val="12"/>
        <color rgb="FF000000"/>
        <rFont val="Microsoft JhengHei Light"/>
        <family val="2"/>
      </rPr>
      <t>FCF</t>
    </r>
    <r>
      <rPr>
        <vertAlign val="subscript"/>
        <sz val="12"/>
        <color rgb="FF000000"/>
        <rFont val="Microsoft JhengHei Light"/>
        <family val="2"/>
        <charset val="2"/>
      </rPr>
      <t>3</t>
    </r>
  </si>
  <si>
    <t>1,1,2-三氟乙烷（HFC-143）</t>
  </si>
  <si>
    <r>
      <t>CH</t>
    </r>
    <r>
      <rPr>
        <vertAlign val="subscript"/>
        <sz val="12"/>
        <color rgb="FF000000"/>
        <rFont val="Microsoft JhengHei Light"/>
        <family val="2"/>
        <charset val="2"/>
      </rPr>
      <t>2</t>
    </r>
    <r>
      <rPr>
        <sz val="12"/>
        <color rgb="FF000000"/>
        <rFont val="Microsoft JhengHei Light"/>
        <family val="2"/>
      </rPr>
      <t>FCHF</t>
    </r>
    <r>
      <rPr>
        <vertAlign val="subscript"/>
        <sz val="12"/>
        <color rgb="FF000000"/>
        <rFont val="Microsoft JhengHei Light"/>
        <family val="2"/>
        <charset val="2"/>
      </rPr>
      <t>2</t>
    </r>
  </si>
  <si>
    <t>1,1,1-三氟乙烷（HFC-143a）</t>
  </si>
  <si>
    <r>
      <t>CH</t>
    </r>
    <r>
      <rPr>
        <vertAlign val="subscript"/>
        <sz val="12"/>
        <color rgb="FF000000"/>
        <rFont val="Microsoft JhengHei Light"/>
        <family val="2"/>
        <charset val="2"/>
      </rPr>
      <t>3</t>
    </r>
    <r>
      <rPr>
        <sz val="12"/>
        <color rgb="FF000000"/>
        <rFont val="Microsoft JhengHei Light"/>
        <family val="2"/>
      </rPr>
      <t>CF</t>
    </r>
    <r>
      <rPr>
        <vertAlign val="subscript"/>
        <sz val="12"/>
        <color rgb="FF000000"/>
        <rFont val="Microsoft JhengHei Light"/>
        <family val="2"/>
        <charset val="2"/>
      </rPr>
      <t>3</t>
    </r>
  </si>
  <si>
    <t>1,2-二氟乙烷（HFC-152）</t>
  </si>
  <si>
    <r>
      <t>CH</t>
    </r>
    <r>
      <rPr>
        <vertAlign val="subscript"/>
        <sz val="12"/>
        <color rgb="FF000000"/>
        <rFont val="Microsoft JhengHei Light"/>
        <family val="2"/>
        <charset val="2"/>
      </rPr>
      <t>2</t>
    </r>
    <r>
      <rPr>
        <sz val="12"/>
        <color rgb="FF000000"/>
        <rFont val="Microsoft JhengHei Light"/>
        <family val="2"/>
      </rPr>
      <t>FCH</t>
    </r>
    <r>
      <rPr>
        <vertAlign val="subscript"/>
        <sz val="12"/>
        <color rgb="FF000000"/>
        <rFont val="Microsoft JhengHei Light"/>
        <family val="2"/>
        <charset val="2"/>
      </rPr>
      <t>2</t>
    </r>
    <r>
      <rPr>
        <sz val="12"/>
        <color rgb="FF000000"/>
        <rFont val="Microsoft JhengHei Light"/>
        <family val="2"/>
      </rPr>
      <t>F</t>
    </r>
  </si>
  <si>
    <t>1,1-二氟乙烷（HFC-152a）</t>
  </si>
  <si>
    <r>
      <t>CH</t>
    </r>
    <r>
      <rPr>
        <vertAlign val="subscript"/>
        <sz val="12"/>
        <color rgb="FF000000"/>
        <rFont val="Microsoft JhengHei Light"/>
        <family val="2"/>
        <charset val="2"/>
      </rPr>
      <t>3</t>
    </r>
    <r>
      <rPr>
        <sz val="12"/>
        <color rgb="FF000000"/>
        <rFont val="Microsoft JhengHei Light"/>
        <family val="2"/>
      </rPr>
      <t>CHF</t>
    </r>
    <r>
      <rPr>
        <vertAlign val="subscript"/>
        <sz val="12"/>
        <color rgb="FF000000"/>
        <rFont val="Microsoft JhengHei Light"/>
        <family val="2"/>
        <charset val="2"/>
      </rPr>
      <t>2</t>
    </r>
  </si>
  <si>
    <t>一氟乙烷（HFC-161）</t>
  </si>
  <si>
    <r>
      <t>CH</t>
    </r>
    <r>
      <rPr>
        <vertAlign val="subscript"/>
        <sz val="12"/>
        <color rgb="FF000000"/>
        <rFont val="Microsoft JhengHei Light"/>
        <family val="2"/>
        <charset val="2"/>
      </rPr>
      <t>3</t>
    </r>
    <r>
      <rPr>
        <sz val="12"/>
        <color rgb="FF000000"/>
        <rFont val="Microsoft JhengHei Light"/>
        <family val="2"/>
      </rPr>
      <t>CH</t>
    </r>
    <r>
      <rPr>
        <vertAlign val="subscript"/>
        <sz val="12"/>
        <color rgb="FF000000"/>
        <rFont val="Microsoft JhengHei Light"/>
        <family val="2"/>
        <charset val="2"/>
      </rPr>
      <t>2</t>
    </r>
    <r>
      <rPr>
        <sz val="12"/>
        <color rgb="FF000000"/>
        <rFont val="Microsoft JhengHei Light"/>
        <family val="2"/>
      </rPr>
      <t>F</t>
    </r>
  </si>
  <si>
    <t>1,1,1,2,2,3,3-七氟丙烷（HFC-227ca）</t>
  </si>
  <si>
    <r>
      <t>CF</t>
    </r>
    <r>
      <rPr>
        <vertAlign val="subscript"/>
        <sz val="12"/>
        <color rgb="FF000000"/>
        <rFont val="Microsoft JhengHei Light"/>
        <family val="2"/>
        <charset val="2"/>
      </rPr>
      <t>3</t>
    </r>
    <r>
      <rPr>
        <sz val="12"/>
        <color rgb="FF000000"/>
        <rFont val="Microsoft JhengHei Light"/>
        <family val="2"/>
      </rPr>
      <t>CF</t>
    </r>
    <r>
      <rPr>
        <vertAlign val="subscript"/>
        <sz val="12"/>
        <color rgb="FF000000"/>
        <rFont val="Microsoft JhengHei Light"/>
        <family val="2"/>
        <charset val="2"/>
      </rPr>
      <t>2</t>
    </r>
    <r>
      <rPr>
        <sz val="12"/>
        <color rgb="FF000000"/>
        <rFont val="Microsoft JhengHei Light"/>
        <family val="2"/>
      </rPr>
      <t>CHF</t>
    </r>
    <r>
      <rPr>
        <vertAlign val="subscript"/>
        <sz val="12"/>
        <color rgb="FF000000"/>
        <rFont val="Microsoft JhengHei Light"/>
        <family val="2"/>
        <charset val="2"/>
      </rPr>
      <t>2</t>
    </r>
  </si>
  <si>
    <t>1,1,1,2,3,3,3-七氟丙烷（HFC-227ea）</t>
  </si>
  <si>
    <r>
      <t>CF</t>
    </r>
    <r>
      <rPr>
        <vertAlign val="subscript"/>
        <sz val="12"/>
        <color rgb="FF000000"/>
        <rFont val="Microsoft JhengHei Light"/>
        <family val="2"/>
        <charset val="2"/>
      </rPr>
      <t>3</t>
    </r>
    <r>
      <rPr>
        <sz val="12"/>
        <color rgb="FF000000"/>
        <rFont val="Microsoft JhengHei Light"/>
        <family val="2"/>
      </rPr>
      <t>CHFCF</t>
    </r>
    <r>
      <rPr>
        <vertAlign val="subscript"/>
        <sz val="12"/>
        <color rgb="FF000000"/>
        <rFont val="Microsoft JhengHei Light"/>
        <family val="2"/>
        <charset val="2"/>
      </rPr>
      <t>3</t>
    </r>
  </si>
  <si>
    <t>1,1,1,2,2,3-六氟丙烷（HFC-236cb）</t>
  </si>
  <si>
    <r>
      <t>CH</t>
    </r>
    <r>
      <rPr>
        <vertAlign val="subscript"/>
        <sz val="12"/>
        <color rgb="FF000000"/>
        <rFont val="Microsoft JhengHei Light"/>
        <family val="2"/>
        <charset val="2"/>
      </rPr>
      <t>2</t>
    </r>
    <r>
      <rPr>
        <sz val="12"/>
        <color rgb="FF000000"/>
        <rFont val="Microsoft JhengHei Light"/>
        <family val="2"/>
      </rPr>
      <t>FCF</t>
    </r>
    <r>
      <rPr>
        <vertAlign val="subscript"/>
        <sz val="12"/>
        <color rgb="FF000000"/>
        <rFont val="Microsoft JhengHei Light"/>
        <family val="2"/>
        <charset val="2"/>
      </rPr>
      <t>2</t>
    </r>
    <r>
      <rPr>
        <sz val="12"/>
        <color rgb="FF000000"/>
        <rFont val="Microsoft JhengHei Light"/>
        <family val="2"/>
      </rPr>
      <t>CF</t>
    </r>
    <r>
      <rPr>
        <vertAlign val="subscript"/>
        <sz val="12"/>
        <color rgb="FF000000"/>
        <rFont val="Microsoft JhengHei Light"/>
        <family val="2"/>
        <charset val="2"/>
      </rPr>
      <t>3</t>
    </r>
  </si>
  <si>
    <t>1,1,1,2,3,3-六氟丙烷（HFC-236ea）</t>
  </si>
  <si>
    <r>
      <t>CHF</t>
    </r>
    <r>
      <rPr>
        <vertAlign val="subscript"/>
        <sz val="12"/>
        <color rgb="FF000000"/>
        <rFont val="Microsoft JhengHei Light"/>
        <family val="2"/>
        <charset val="2"/>
      </rPr>
      <t>2</t>
    </r>
    <r>
      <rPr>
        <sz val="12"/>
        <color rgb="FF000000"/>
        <rFont val="Microsoft JhengHei Light"/>
        <family val="2"/>
      </rPr>
      <t>CHFCF</t>
    </r>
    <r>
      <rPr>
        <vertAlign val="subscript"/>
        <sz val="12"/>
        <color rgb="FF000000"/>
        <rFont val="Microsoft JhengHei Light"/>
        <family val="2"/>
        <charset val="2"/>
      </rPr>
      <t>3</t>
    </r>
  </si>
  <si>
    <t>1,1,1,3,3,3-六氟丙烷（HFC-236fa）</t>
  </si>
  <si>
    <r>
      <t>CF</t>
    </r>
    <r>
      <rPr>
        <vertAlign val="subscript"/>
        <sz val="12"/>
        <color rgb="FF000000"/>
        <rFont val="Microsoft JhengHei Light"/>
        <family val="2"/>
        <charset val="2"/>
      </rPr>
      <t>3</t>
    </r>
    <r>
      <rPr>
        <sz val="12"/>
        <color rgb="FF000000"/>
        <rFont val="Microsoft JhengHei Light"/>
        <family val="2"/>
      </rPr>
      <t>CH</t>
    </r>
    <r>
      <rPr>
        <vertAlign val="subscript"/>
        <sz val="12"/>
        <color rgb="FF000000"/>
        <rFont val="Microsoft JhengHei Light"/>
        <family val="2"/>
        <charset val="2"/>
      </rPr>
      <t>2</t>
    </r>
    <r>
      <rPr>
        <sz val="12"/>
        <color rgb="FF000000"/>
        <rFont val="Microsoft JhengHei Light"/>
        <family val="2"/>
      </rPr>
      <t>CF</t>
    </r>
    <r>
      <rPr>
        <vertAlign val="subscript"/>
        <sz val="12"/>
        <color rgb="FF000000"/>
        <rFont val="Microsoft JhengHei Light"/>
        <family val="2"/>
        <charset val="2"/>
      </rPr>
      <t>3</t>
    </r>
  </si>
  <si>
    <t>1,1,2,2,3-五氟丙烷（HFC-245ca）</t>
  </si>
  <si>
    <r>
      <t>CH</t>
    </r>
    <r>
      <rPr>
        <vertAlign val="subscript"/>
        <sz val="12"/>
        <color rgb="FF000000"/>
        <rFont val="Microsoft JhengHei Light"/>
        <family val="2"/>
        <charset val="2"/>
      </rPr>
      <t>2</t>
    </r>
    <r>
      <rPr>
        <sz val="12"/>
        <color rgb="FF000000"/>
        <rFont val="Microsoft JhengHei Light"/>
        <family val="2"/>
      </rPr>
      <t>FCF</t>
    </r>
    <r>
      <rPr>
        <vertAlign val="subscript"/>
        <sz val="12"/>
        <color rgb="FF000000"/>
        <rFont val="Microsoft JhengHei Light"/>
        <family val="2"/>
        <charset val="2"/>
      </rPr>
      <t>2</t>
    </r>
    <r>
      <rPr>
        <sz val="12"/>
        <color rgb="FF000000"/>
        <rFont val="Microsoft JhengHei Light"/>
        <family val="2"/>
      </rPr>
      <t>CHF</t>
    </r>
    <r>
      <rPr>
        <vertAlign val="subscript"/>
        <sz val="12"/>
        <color rgb="FF000000"/>
        <rFont val="Microsoft JhengHei Light"/>
        <family val="2"/>
        <charset val="2"/>
      </rPr>
      <t>2</t>
    </r>
  </si>
  <si>
    <t>1,1,1,2,2-五氟丙烷（HFC-245cb）</t>
  </si>
  <si>
    <r>
      <t>CF</t>
    </r>
    <r>
      <rPr>
        <vertAlign val="subscript"/>
        <sz val="12"/>
        <color rgb="FF000000"/>
        <rFont val="Microsoft JhengHei Light"/>
        <family val="2"/>
        <charset val="2"/>
      </rPr>
      <t>3</t>
    </r>
    <r>
      <rPr>
        <sz val="12"/>
        <color rgb="FF000000"/>
        <rFont val="Microsoft JhengHei Light"/>
        <family val="2"/>
      </rPr>
      <t>CF</t>
    </r>
    <r>
      <rPr>
        <vertAlign val="subscript"/>
        <sz val="12"/>
        <color rgb="FF000000"/>
        <rFont val="Microsoft JhengHei Light"/>
        <family val="2"/>
        <charset val="2"/>
      </rPr>
      <t>2</t>
    </r>
    <r>
      <rPr>
        <sz val="12"/>
        <color rgb="FF000000"/>
        <rFont val="Microsoft JhengHei Light"/>
        <family val="2"/>
      </rPr>
      <t>CH</t>
    </r>
    <r>
      <rPr>
        <vertAlign val="subscript"/>
        <sz val="12"/>
        <color rgb="FF000000"/>
        <rFont val="Microsoft JhengHei Light"/>
        <family val="2"/>
        <charset val="2"/>
      </rPr>
      <t>3</t>
    </r>
  </si>
  <si>
    <t>1,1,2,3,3-五氟丙烷（HFC-245ea）</t>
  </si>
  <si>
    <r>
      <t>CHF</t>
    </r>
    <r>
      <rPr>
        <vertAlign val="subscript"/>
        <sz val="12"/>
        <color rgb="FF000000"/>
        <rFont val="Microsoft JhengHei Light"/>
        <family val="2"/>
        <charset val="2"/>
      </rPr>
      <t>2</t>
    </r>
    <r>
      <rPr>
        <sz val="12"/>
        <color rgb="FF000000"/>
        <rFont val="Microsoft JhengHei Light"/>
        <family val="2"/>
      </rPr>
      <t>CHFCHF</t>
    </r>
    <r>
      <rPr>
        <vertAlign val="subscript"/>
        <sz val="12"/>
        <color rgb="FF000000"/>
        <rFont val="Microsoft JhengHei Light"/>
        <family val="2"/>
        <charset val="2"/>
      </rPr>
      <t>2</t>
    </r>
  </si>
  <si>
    <t>1,1,1,2,3-五氟丙烷（HFC-245eb）</t>
  </si>
  <si>
    <r>
      <t>CH</t>
    </r>
    <r>
      <rPr>
        <vertAlign val="subscript"/>
        <sz val="12"/>
        <color rgb="FF000000"/>
        <rFont val="Microsoft JhengHei Light"/>
        <family val="2"/>
        <charset val="2"/>
      </rPr>
      <t>2</t>
    </r>
    <r>
      <rPr>
        <sz val="12"/>
        <color rgb="FF000000"/>
        <rFont val="Microsoft JhengHei Light"/>
        <family val="2"/>
      </rPr>
      <t>FCHFCF</t>
    </r>
    <r>
      <rPr>
        <vertAlign val="subscript"/>
        <sz val="12"/>
        <color rgb="FF000000"/>
        <rFont val="Microsoft JhengHei Light"/>
        <family val="2"/>
        <charset val="2"/>
      </rPr>
      <t>3</t>
    </r>
  </si>
  <si>
    <t>1,1,1,3,3-五氟丙烷（HFC-245fa）</t>
  </si>
  <si>
    <r>
      <t>CHF</t>
    </r>
    <r>
      <rPr>
        <vertAlign val="subscript"/>
        <sz val="12"/>
        <color rgb="FF000000"/>
        <rFont val="Microsoft JhengHei Light"/>
        <family val="2"/>
        <charset val="2"/>
      </rPr>
      <t>2</t>
    </r>
    <r>
      <rPr>
        <sz val="12"/>
        <color rgb="FF000000"/>
        <rFont val="Microsoft JhengHei Light"/>
        <family val="2"/>
      </rPr>
      <t>CH</t>
    </r>
    <r>
      <rPr>
        <vertAlign val="subscript"/>
        <sz val="12"/>
        <color rgb="FF000000"/>
        <rFont val="Microsoft JhengHei Light"/>
        <family val="2"/>
        <charset val="2"/>
      </rPr>
      <t>2</t>
    </r>
    <r>
      <rPr>
        <sz val="12"/>
        <color rgb="FF000000"/>
        <rFont val="Microsoft JhengHei Light"/>
        <family val="2"/>
      </rPr>
      <t>CF</t>
    </r>
    <r>
      <rPr>
        <vertAlign val="subscript"/>
        <sz val="12"/>
        <color rgb="FF000000"/>
        <rFont val="Microsoft JhengHei Light"/>
        <family val="2"/>
        <charset val="2"/>
      </rPr>
      <t>3</t>
    </r>
  </si>
  <si>
    <t>1,1,1-三氟丙烷（HFC-263fb）</t>
  </si>
  <si>
    <r>
      <t>CH</t>
    </r>
    <r>
      <rPr>
        <vertAlign val="subscript"/>
        <sz val="12"/>
        <color rgb="FF000000"/>
        <rFont val="Microsoft JhengHei Light"/>
        <family val="2"/>
        <charset val="2"/>
      </rPr>
      <t>3</t>
    </r>
    <r>
      <rPr>
        <sz val="12"/>
        <color rgb="FF000000"/>
        <rFont val="Microsoft JhengHei Light"/>
        <family val="2"/>
      </rPr>
      <t>CH</t>
    </r>
    <r>
      <rPr>
        <vertAlign val="subscript"/>
        <sz val="12"/>
        <color rgb="FF000000"/>
        <rFont val="Microsoft JhengHei Light"/>
        <family val="2"/>
        <charset val="2"/>
      </rPr>
      <t>2</t>
    </r>
    <r>
      <rPr>
        <sz val="12"/>
        <color rgb="FF000000"/>
        <rFont val="Microsoft JhengHei Light"/>
        <family val="2"/>
      </rPr>
      <t>CF</t>
    </r>
    <r>
      <rPr>
        <vertAlign val="subscript"/>
        <sz val="12"/>
        <color rgb="FF000000"/>
        <rFont val="Microsoft JhengHei Light"/>
        <family val="2"/>
        <charset val="2"/>
      </rPr>
      <t>3</t>
    </r>
  </si>
  <si>
    <t>2,2-二氟丙烷（HFC-272ca）</t>
  </si>
  <si>
    <r>
      <t>CH</t>
    </r>
    <r>
      <rPr>
        <vertAlign val="subscript"/>
        <sz val="12"/>
        <color rgb="FF000000"/>
        <rFont val="Microsoft JhengHei Light"/>
        <family val="2"/>
        <charset val="2"/>
      </rPr>
      <t>3</t>
    </r>
    <r>
      <rPr>
        <sz val="12"/>
        <color rgb="FF000000"/>
        <rFont val="Microsoft JhengHei Light"/>
        <family val="2"/>
      </rPr>
      <t>CF</t>
    </r>
    <r>
      <rPr>
        <vertAlign val="subscript"/>
        <sz val="12"/>
        <color rgb="FF000000"/>
        <rFont val="Microsoft JhengHei Light"/>
        <family val="2"/>
        <charset val="2"/>
      </rPr>
      <t>2</t>
    </r>
    <r>
      <rPr>
        <sz val="12"/>
        <color rgb="FF000000"/>
        <rFont val="Microsoft JhengHei Light"/>
        <family val="2"/>
      </rPr>
      <t>CH</t>
    </r>
    <r>
      <rPr>
        <vertAlign val="subscript"/>
        <sz val="12"/>
        <color rgb="FF000000"/>
        <rFont val="Microsoft JhengHei Light"/>
        <family val="2"/>
        <charset val="2"/>
      </rPr>
      <t>3</t>
    </r>
  </si>
  <si>
    <t>1,1,1,2,2,3,3,4,4-九氟丁烷（HFC-329p）</t>
  </si>
  <si>
    <r>
      <t>CHF</t>
    </r>
    <r>
      <rPr>
        <vertAlign val="subscript"/>
        <sz val="12"/>
        <color rgb="FF000000"/>
        <rFont val="Microsoft JhengHei Light"/>
        <family val="2"/>
        <charset val="2"/>
      </rPr>
      <t>2</t>
    </r>
    <r>
      <rPr>
        <sz val="12"/>
        <color rgb="FF000000"/>
        <rFont val="Microsoft JhengHei Light"/>
        <family val="2"/>
      </rPr>
      <t>CF</t>
    </r>
    <r>
      <rPr>
        <vertAlign val="subscript"/>
        <sz val="12"/>
        <color rgb="FF000000"/>
        <rFont val="Microsoft JhengHei Light"/>
        <family val="2"/>
        <charset val="2"/>
      </rPr>
      <t>2</t>
    </r>
    <r>
      <rPr>
        <sz val="12"/>
        <color rgb="FF000000"/>
        <rFont val="Microsoft JhengHei Light"/>
        <family val="2"/>
      </rPr>
      <t>CF</t>
    </r>
    <r>
      <rPr>
        <vertAlign val="subscript"/>
        <sz val="12"/>
        <color rgb="FF000000"/>
        <rFont val="Microsoft JhengHei Light"/>
        <family val="2"/>
        <charset val="2"/>
      </rPr>
      <t>2</t>
    </r>
    <r>
      <rPr>
        <sz val="12"/>
        <color rgb="FF000000"/>
        <rFont val="Microsoft JhengHei Light"/>
        <family val="2"/>
      </rPr>
      <t>CF</t>
    </r>
    <r>
      <rPr>
        <vertAlign val="subscript"/>
        <sz val="12"/>
        <color rgb="FF000000"/>
        <rFont val="Microsoft JhengHei Light"/>
        <family val="2"/>
        <charset val="2"/>
      </rPr>
      <t>3</t>
    </r>
  </si>
  <si>
    <t>1,1,1,3,3-五氟丁烷（HFC-365mfc）</t>
  </si>
  <si>
    <r>
      <t>CH</t>
    </r>
    <r>
      <rPr>
        <vertAlign val="subscript"/>
        <sz val="12"/>
        <color rgb="FF000000"/>
        <rFont val="Microsoft JhengHei Light"/>
        <family val="2"/>
        <charset val="2"/>
      </rPr>
      <t>3</t>
    </r>
    <r>
      <rPr>
        <sz val="12"/>
        <color rgb="FF000000"/>
        <rFont val="Microsoft JhengHei Light"/>
        <family val="2"/>
      </rPr>
      <t>CF</t>
    </r>
    <r>
      <rPr>
        <vertAlign val="subscript"/>
        <sz val="12"/>
        <color rgb="FF000000"/>
        <rFont val="Microsoft JhengHei Light"/>
        <family val="2"/>
        <charset val="2"/>
      </rPr>
      <t>2</t>
    </r>
    <r>
      <rPr>
        <sz val="12"/>
        <color rgb="FF000000"/>
        <rFont val="Microsoft JhengHei Light"/>
        <family val="2"/>
      </rPr>
      <t>CH</t>
    </r>
    <r>
      <rPr>
        <vertAlign val="subscript"/>
        <sz val="12"/>
        <color rgb="FF000000"/>
        <rFont val="Microsoft JhengHei Light"/>
        <family val="2"/>
        <charset val="2"/>
      </rPr>
      <t>2</t>
    </r>
    <r>
      <rPr>
        <sz val="12"/>
        <color rgb="FF000000"/>
        <rFont val="Microsoft JhengHei Light"/>
        <family val="2"/>
      </rPr>
      <t>CF</t>
    </r>
    <r>
      <rPr>
        <vertAlign val="subscript"/>
        <sz val="12"/>
        <color rgb="FF000000"/>
        <rFont val="Microsoft JhengHei Light"/>
        <family val="2"/>
        <charset val="2"/>
      </rPr>
      <t>3</t>
    </r>
  </si>
  <si>
    <t>1,1,1,2,2,3,4,5,5,5-十氟戊烷（HFC-43-10mee）</t>
  </si>
  <si>
    <r>
      <t>CF</t>
    </r>
    <r>
      <rPr>
        <vertAlign val="subscript"/>
        <sz val="12"/>
        <color rgb="FF000000"/>
        <rFont val="Microsoft JhengHei Light"/>
        <family val="2"/>
        <charset val="2"/>
      </rPr>
      <t>3</t>
    </r>
    <r>
      <rPr>
        <sz val="12"/>
        <color rgb="FF000000"/>
        <rFont val="Microsoft JhengHei Light"/>
        <family val="2"/>
      </rPr>
      <t>CHFCHFCF</t>
    </r>
    <r>
      <rPr>
        <vertAlign val="subscript"/>
        <sz val="12"/>
        <color rgb="FF000000"/>
        <rFont val="Microsoft JhengHei Light"/>
        <family val="2"/>
        <charset val="2"/>
      </rPr>
      <t>2</t>
    </r>
    <r>
      <rPr>
        <sz val="12"/>
        <color rgb="FF000000"/>
        <rFont val="Microsoft JhengHei Light"/>
        <family val="2"/>
      </rPr>
      <t>CF</t>
    </r>
    <r>
      <rPr>
        <vertAlign val="subscript"/>
        <sz val="12"/>
        <color rgb="FF000000"/>
        <rFont val="Microsoft JhengHei Light"/>
        <family val="2"/>
        <charset val="2"/>
      </rPr>
      <t>3</t>
    </r>
  </si>
  <si>
    <t>1,1-二氟乙烯（HFC-1132a）</t>
  </si>
  <si>
    <r>
      <t>CH</t>
    </r>
    <r>
      <rPr>
        <vertAlign val="subscript"/>
        <sz val="12"/>
        <color rgb="FF000000"/>
        <rFont val="Microsoft JhengHei Light"/>
        <family val="2"/>
        <charset val="2"/>
      </rPr>
      <t>2</t>
    </r>
    <r>
      <rPr>
        <sz val="12"/>
        <color rgb="FF000000"/>
        <rFont val="Microsoft JhengHei Light"/>
        <family val="2"/>
      </rPr>
      <t>=CF</t>
    </r>
    <r>
      <rPr>
        <vertAlign val="subscript"/>
        <sz val="12"/>
        <color rgb="FF000000"/>
        <rFont val="Microsoft JhengHei Light"/>
        <family val="2"/>
        <charset val="2"/>
      </rPr>
      <t>2</t>
    </r>
  </si>
  <si>
    <t>&lt;1</t>
  </si>
  <si>
    <t>一氟乙烯（HFC-1141）</t>
  </si>
  <si>
    <r>
      <t>CH</t>
    </r>
    <r>
      <rPr>
        <vertAlign val="subscript"/>
        <sz val="12"/>
        <color rgb="FF000000"/>
        <rFont val="Microsoft JhengHei Light"/>
        <family val="2"/>
        <charset val="2"/>
      </rPr>
      <t>2</t>
    </r>
    <r>
      <rPr>
        <sz val="12"/>
        <color rgb="FF000000"/>
        <rFont val="Microsoft JhengHei Light"/>
        <family val="2"/>
      </rPr>
      <t>=CHF</t>
    </r>
  </si>
  <si>
    <t>（順）1,2,3,3,3-五氟1-丙烯（(Z)-HFC-1225ye）</t>
  </si>
  <si>
    <r>
      <t>CF</t>
    </r>
    <r>
      <rPr>
        <vertAlign val="subscript"/>
        <sz val="12"/>
        <color rgb="FF000000"/>
        <rFont val="Microsoft JhengHei Light"/>
        <family val="2"/>
        <charset val="2"/>
      </rPr>
      <t>3</t>
    </r>
    <r>
      <rPr>
        <sz val="12"/>
        <color rgb="FF000000"/>
        <rFont val="Microsoft JhengHei Light"/>
        <family val="2"/>
      </rPr>
      <t>CF=CHF(Z)</t>
    </r>
  </si>
  <si>
    <t>（反）1,2,3,3,3-五氟1-丙烯（(E)-HFC-1225ye）</t>
  </si>
  <si>
    <r>
      <t>CF</t>
    </r>
    <r>
      <rPr>
        <vertAlign val="subscript"/>
        <sz val="12"/>
        <color rgb="FF000000"/>
        <rFont val="Microsoft JhengHei Light"/>
        <family val="2"/>
        <charset val="2"/>
      </rPr>
      <t>3</t>
    </r>
    <r>
      <rPr>
        <sz val="12"/>
        <color rgb="FF000000"/>
        <rFont val="Microsoft JhengHei Light"/>
        <family val="2"/>
      </rPr>
      <t>CF=CHF(E)</t>
    </r>
  </si>
  <si>
    <t>（順）1,3,3,3-四氟1-丙烯（(Z)-HFC-1234ze）</t>
  </si>
  <si>
    <r>
      <t>CF</t>
    </r>
    <r>
      <rPr>
        <vertAlign val="subscript"/>
        <sz val="12"/>
        <color rgb="FF000000"/>
        <rFont val="Microsoft JhengHei Light"/>
        <family val="2"/>
        <charset val="2"/>
      </rPr>
      <t>3</t>
    </r>
    <r>
      <rPr>
        <sz val="12"/>
        <color rgb="FF000000"/>
        <rFont val="Microsoft JhengHei Light"/>
        <family val="2"/>
      </rPr>
      <t>CH=CHF(Z)</t>
    </r>
  </si>
  <si>
    <t>2,3,3,3-四氟1-丙烯（HFC-1234yf）</t>
  </si>
  <si>
    <r>
      <t>CF</t>
    </r>
    <r>
      <rPr>
        <vertAlign val="subscript"/>
        <sz val="12"/>
        <color rgb="FF000000"/>
        <rFont val="Microsoft JhengHei Light"/>
        <family val="2"/>
        <charset val="2"/>
      </rPr>
      <t>3</t>
    </r>
    <r>
      <rPr>
        <sz val="12"/>
        <color rgb="FF000000"/>
        <rFont val="Microsoft JhengHei Light"/>
        <family val="2"/>
      </rPr>
      <t>CF=CH</t>
    </r>
    <r>
      <rPr>
        <vertAlign val="subscript"/>
        <sz val="12"/>
        <color rgb="FF000000"/>
        <rFont val="Microsoft JhengHei Light"/>
        <family val="2"/>
        <charset val="2"/>
      </rPr>
      <t>2</t>
    </r>
  </si>
  <si>
    <t>（反）1,3,3,3-四氟1-丙烯（(E)-HFC-1234ze）</t>
  </si>
  <si>
    <r>
      <t>trans-CF</t>
    </r>
    <r>
      <rPr>
        <vertAlign val="subscript"/>
        <sz val="12"/>
        <color rgb="FF000000"/>
        <rFont val="Microsoft JhengHei Light"/>
        <family val="2"/>
        <charset val="2"/>
      </rPr>
      <t>3</t>
    </r>
    <r>
      <rPr>
        <sz val="12"/>
        <color rgb="FF000000"/>
        <rFont val="Microsoft JhengHei Light"/>
        <family val="2"/>
      </rPr>
      <t>CH=CHF</t>
    </r>
  </si>
  <si>
    <t>（順）1,1,1,3,3,3-六氟2-丁烯（(Z)-HFC-1336）</t>
  </si>
  <si>
    <r>
      <t>CF</t>
    </r>
    <r>
      <rPr>
        <vertAlign val="subscript"/>
        <sz val="12"/>
        <color rgb="FF000000"/>
        <rFont val="Microsoft JhengHei Light"/>
        <family val="2"/>
        <charset val="2"/>
      </rPr>
      <t>3</t>
    </r>
    <r>
      <rPr>
        <sz val="12"/>
        <color rgb="FF000000"/>
        <rFont val="Microsoft JhengHei Light"/>
        <family val="2"/>
      </rPr>
      <t>CH=CHCF</t>
    </r>
    <r>
      <rPr>
        <vertAlign val="subscript"/>
        <sz val="12"/>
        <color rgb="FF000000"/>
        <rFont val="Microsoft JhengHei Light"/>
        <family val="2"/>
        <charset val="2"/>
      </rPr>
      <t>3</t>
    </r>
    <r>
      <rPr>
        <sz val="12"/>
        <color rgb="FF000000"/>
        <rFont val="Microsoft JhengHei Light"/>
        <family val="2"/>
      </rPr>
      <t>(Z)</t>
    </r>
  </si>
  <si>
    <t>3,3,3-三氟1-丙烯（HFC-1243zf）</t>
  </si>
  <si>
    <r>
      <t>CF</t>
    </r>
    <r>
      <rPr>
        <vertAlign val="subscript"/>
        <sz val="12"/>
        <color rgb="FF000000"/>
        <rFont val="Microsoft JhengHei Light"/>
        <family val="2"/>
        <charset val="2"/>
      </rPr>
      <t>3</t>
    </r>
    <r>
      <rPr>
        <sz val="12"/>
        <color rgb="FF000000"/>
        <rFont val="Microsoft JhengHei Light"/>
        <family val="2"/>
      </rPr>
      <t>CH=CH</t>
    </r>
    <r>
      <rPr>
        <vertAlign val="subscript"/>
        <sz val="12"/>
        <color rgb="FF000000"/>
        <rFont val="Microsoft JhengHei Light"/>
        <family val="2"/>
        <charset val="2"/>
      </rPr>
      <t>2</t>
    </r>
  </si>
  <si>
    <t>2,2,4,4,4-五氟1-丁烯（HFC-1345zfc）</t>
  </si>
  <si>
    <r>
      <t>C</t>
    </r>
    <r>
      <rPr>
        <vertAlign val="subscript"/>
        <sz val="12"/>
        <color rgb="FF000000"/>
        <rFont val="Microsoft JhengHei Light"/>
        <family val="2"/>
        <charset val="2"/>
      </rPr>
      <t>2</t>
    </r>
    <r>
      <rPr>
        <sz val="12"/>
        <color rgb="FF000000"/>
        <rFont val="Microsoft JhengHei Light"/>
        <family val="2"/>
      </rPr>
      <t>F</t>
    </r>
    <r>
      <rPr>
        <vertAlign val="subscript"/>
        <sz val="12"/>
        <color rgb="FF000000"/>
        <rFont val="Microsoft JhengHei Light"/>
        <family val="2"/>
        <charset val="2"/>
      </rPr>
      <t>5</t>
    </r>
    <r>
      <rPr>
        <sz val="12"/>
        <color rgb="FF000000"/>
        <rFont val="Microsoft JhengHei Light"/>
        <family val="2"/>
      </rPr>
      <t>CH=CH</t>
    </r>
    <r>
      <rPr>
        <vertAlign val="subscript"/>
        <sz val="12"/>
        <color rgb="FF000000"/>
        <rFont val="Microsoft JhengHei Light"/>
        <family val="2"/>
        <charset val="2"/>
      </rPr>
      <t>2</t>
    </r>
  </si>
  <si>
    <t>3,3,4,4,5,5,6,6,6-九氟己烯（3,3,4,4,5,5,6,6,6-Nonafluorohex-1-ene）</t>
  </si>
  <si>
    <r>
      <t>C</t>
    </r>
    <r>
      <rPr>
        <vertAlign val="subscript"/>
        <sz val="12"/>
        <color rgb="FF000000"/>
        <rFont val="Microsoft JhengHei Light"/>
        <family val="2"/>
        <charset val="2"/>
      </rPr>
      <t>4</t>
    </r>
    <r>
      <rPr>
        <sz val="12"/>
        <color rgb="FF000000"/>
        <rFont val="Microsoft JhengHei Light"/>
        <family val="2"/>
      </rPr>
      <t>F</t>
    </r>
    <r>
      <rPr>
        <vertAlign val="subscript"/>
        <sz val="12"/>
        <color rgb="FF000000"/>
        <rFont val="Microsoft JhengHei Light"/>
        <family val="2"/>
        <charset val="2"/>
      </rPr>
      <t>9</t>
    </r>
    <r>
      <rPr>
        <sz val="12"/>
        <color rgb="FF000000"/>
        <rFont val="Microsoft JhengHei Light"/>
        <family val="2"/>
      </rPr>
      <t>CH=CH</t>
    </r>
    <r>
      <rPr>
        <vertAlign val="subscript"/>
        <sz val="12"/>
        <color rgb="FF000000"/>
        <rFont val="Microsoft JhengHei Light"/>
        <family val="2"/>
        <charset val="2"/>
      </rPr>
      <t>2</t>
    </r>
  </si>
  <si>
    <t>3,3,4,4,5,5,6,6,7,7,8,8,8-十三氟辛烯（3,3,4,4,5,5,6,6,7,7,8,8,8-Tridecafluorooct-1-ene）</t>
  </si>
  <si>
    <r>
      <t>C</t>
    </r>
    <r>
      <rPr>
        <vertAlign val="subscript"/>
        <sz val="12"/>
        <color rgb="FF000000"/>
        <rFont val="Microsoft JhengHei Light"/>
        <family val="2"/>
        <charset val="2"/>
      </rPr>
      <t>6</t>
    </r>
    <r>
      <rPr>
        <sz val="12"/>
        <color rgb="FF000000"/>
        <rFont val="Microsoft JhengHei Light"/>
        <family val="2"/>
      </rPr>
      <t>F</t>
    </r>
    <r>
      <rPr>
        <vertAlign val="subscript"/>
        <sz val="12"/>
        <color rgb="FF000000"/>
        <rFont val="Microsoft JhengHei Light"/>
        <family val="2"/>
        <charset val="2"/>
      </rPr>
      <t>13</t>
    </r>
    <r>
      <rPr>
        <sz val="12"/>
        <color rgb="FF000000"/>
        <rFont val="Microsoft JhengHei Light"/>
        <family val="2"/>
      </rPr>
      <t>CH=CH</t>
    </r>
    <r>
      <rPr>
        <vertAlign val="subscript"/>
        <sz val="12"/>
        <color rgb="FF000000"/>
        <rFont val="Microsoft JhengHei Light"/>
        <family val="2"/>
        <charset val="2"/>
      </rPr>
      <t>2</t>
    </r>
  </si>
  <si>
    <t>3,3,4,4,5,5,6,6,7,7,8,8,9,9,10,10,10-十七氟癸烯（3,3,4,4,5,5,6,6,7,7,8,8,9,9,10,10,10-Hep-tadecafluorodec-1-ene）</t>
  </si>
  <si>
    <r>
      <t>C</t>
    </r>
    <r>
      <rPr>
        <vertAlign val="subscript"/>
        <sz val="12"/>
        <color rgb="FF000000"/>
        <rFont val="Microsoft JhengHei Light"/>
        <family val="2"/>
        <charset val="2"/>
      </rPr>
      <t>8</t>
    </r>
    <r>
      <rPr>
        <sz val="12"/>
        <color rgb="FF000000"/>
        <rFont val="Microsoft JhengHei Light"/>
        <family val="2"/>
      </rPr>
      <t>F</t>
    </r>
    <r>
      <rPr>
        <vertAlign val="subscript"/>
        <sz val="12"/>
        <color rgb="FF000000"/>
        <rFont val="Microsoft JhengHei Light"/>
        <family val="2"/>
        <charset val="2"/>
      </rPr>
      <t>17</t>
    </r>
    <r>
      <rPr>
        <sz val="12"/>
        <color rgb="FF000000"/>
        <rFont val="Microsoft JhengHei Light"/>
        <family val="2"/>
      </rPr>
      <t>CH=CH</t>
    </r>
    <r>
      <rPr>
        <vertAlign val="subscript"/>
        <sz val="12"/>
        <color rgb="FF000000"/>
        <rFont val="Microsoft JhengHei Light"/>
        <family val="2"/>
        <charset val="2"/>
      </rPr>
      <t>2</t>
    </r>
  </si>
  <si>
    <t>全氟碳化物（Fully Fluorinated Species）</t>
  </si>
  <si>
    <t>三氟化氮（Nitrogen trifluoride）</t>
  </si>
  <si>
    <t>六氟化硫（Sulphur hexafluoride）</t>
  </si>
  <si>
    <t>三氟甲基五氟化硫（(Trifluoromethyl） sulphur pentafluoride）</t>
  </si>
  <si>
    <r>
      <t>SF</t>
    </r>
    <r>
      <rPr>
        <vertAlign val="subscript"/>
        <sz val="12"/>
        <color rgb="FF000000"/>
        <rFont val="Microsoft JhengHei Light"/>
        <family val="2"/>
        <charset val="2"/>
      </rPr>
      <t>5</t>
    </r>
    <r>
      <rPr>
        <sz val="12"/>
        <color rgb="FF000000"/>
        <rFont val="Microsoft JhengHei Light"/>
        <family val="2"/>
      </rPr>
      <t>CF</t>
    </r>
    <r>
      <rPr>
        <vertAlign val="subscript"/>
        <sz val="12"/>
        <color rgb="FF000000"/>
        <rFont val="Microsoft JhengHei Light"/>
        <family val="2"/>
        <charset val="2"/>
      </rPr>
      <t>3</t>
    </r>
  </si>
  <si>
    <t>硫醯氟（Sulphuryl fluoride）</t>
  </si>
  <si>
    <r>
      <t>SO</t>
    </r>
    <r>
      <rPr>
        <vertAlign val="subscript"/>
        <sz val="12"/>
        <color rgb="FF000000"/>
        <rFont val="Microsoft JhengHei Light"/>
        <family val="2"/>
        <charset val="2"/>
      </rPr>
      <t>2</t>
    </r>
    <r>
      <rPr>
        <sz val="12"/>
        <color rgb="FF000000"/>
        <rFont val="Microsoft JhengHei Light"/>
        <family val="2"/>
      </rPr>
      <t>F</t>
    </r>
    <r>
      <rPr>
        <vertAlign val="subscript"/>
        <sz val="12"/>
        <color rgb="FF000000"/>
        <rFont val="Microsoft JhengHei Light"/>
        <family val="2"/>
        <charset val="2"/>
      </rPr>
      <t>2</t>
    </r>
  </si>
  <si>
    <t>四氟化碳（PFC-14）</t>
  </si>
  <si>
    <t>六氟乙烷（PFC-116）</t>
  </si>
  <si>
    <t>PFC-c216</t>
  </si>
  <si>
    <r>
      <t>c-C</t>
    </r>
    <r>
      <rPr>
        <vertAlign val="subscript"/>
        <sz val="12"/>
        <color rgb="FF000000"/>
        <rFont val="Microsoft JhengHei Light"/>
        <family val="2"/>
        <charset val="2"/>
      </rPr>
      <t>3</t>
    </r>
    <r>
      <rPr>
        <sz val="12"/>
        <color rgb="FF000000"/>
        <rFont val="Microsoft JhengHei Light"/>
        <family val="2"/>
      </rPr>
      <t>F</t>
    </r>
    <r>
      <rPr>
        <vertAlign val="subscript"/>
        <sz val="12"/>
        <color rgb="FF000000"/>
        <rFont val="Microsoft JhengHei Light"/>
        <family val="2"/>
        <charset val="2"/>
      </rPr>
      <t>6</t>
    </r>
  </si>
  <si>
    <t>全氟丙烷（PFC-218）</t>
  </si>
  <si>
    <t>八氟環丁烷（PFC-318）</t>
  </si>
  <si>
    <t>全氟丁烷（PFC-31-10）</t>
  </si>
  <si>
    <r>
      <t>C</t>
    </r>
    <r>
      <rPr>
        <vertAlign val="subscript"/>
        <sz val="12"/>
        <color rgb="FF000000"/>
        <rFont val="Microsoft JhengHei Light"/>
        <family val="2"/>
        <charset val="2"/>
      </rPr>
      <t>4</t>
    </r>
    <r>
      <rPr>
        <sz val="12"/>
        <color rgb="FF000000"/>
        <rFont val="Microsoft JhengHei Light"/>
        <family val="2"/>
      </rPr>
      <t>F</t>
    </r>
    <r>
      <rPr>
        <vertAlign val="subscript"/>
        <sz val="12"/>
        <color rgb="FF000000"/>
        <rFont val="Microsoft JhengHei Light"/>
        <family val="2"/>
        <charset val="2"/>
      </rPr>
      <t>10</t>
    </r>
  </si>
  <si>
    <t>全氟環戊烯（Perfluorocyclopentene）</t>
  </si>
  <si>
    <r>
      <t>c-C</t>
    </r>
    <r>
      <rPr>
        <vertAlign val="subscript"/>
        <sz val="12"/>
        <color rgb="FF000000"/>
        <rFont val="Microsoft JhengHei Light"/>
        <family val="2"/>
        <charset val="2"/>
      </rPr>
      <t>5</t>
    </r>
    <r>
      <rPr>
        <sz val="12"/>
        <color rgb="FF000000"/>
        <rFont val="Microsoft JhengHei Light"/>
        <family val="2"/>
      </rPr>
      <t>F</t>
    </r>
    <r>
      <rPr>
        <vertAlign val="subscript"/>
        <sz val="12"/>
        <color rgb="FF000000"/>
        <rFont val="Microsoft JhengHei Light"/>
        <family val="2"/>
        <charset val="2"/>
      </rPr>
      <t>8</t>
    </r>
  </si>
  <si>
    <t>全氟戊烷（PFC-41-12）</t>
  </si>
  <si>
    <r>
      <t>n-C</t>
    </r>
    <r>
      <rPr>
        <vertAlign val="subscript"/>
        <sz val="12"/>
        <color rgb="FF000000"/>
        <rFont val="Microsoft JhengHei Light"/>
        <family val="2"/>
        <charset val="2"/>
      </rPr>
      <t>5</t>
    </r>
    <r>
      <rPr>
        <sz val="12"/>
        <color rgb="FF000000"/>
        <rFont val="Microsoft JhengHei Light"/>
        <family val="2"/>
      </rPr>
      <t>F</t>
    </r>
    <r>
      <rPr>
        <vertAlign val="subscript"/>
        <sz val="12"/>
        <color rgb="FF000000"/>
        <rFont val="Microsoft JhengHei Light"/>
        <family val="2"/>
        <charset val="2"/>
      </rPr>
      <t>12</t>
    </r>
  </si>
  <si>
    <t>全氟己烷（PFC-51-14）</t>
  </si>
  <si>
    <r>
      <t>n-C</t>
    </r>
    <r>
      <rPr>
        <vertAlign val="subscript"/>
        <sz val="12"/>
        <color rgb="FF000000"/>
        <rFont val="Microsoft JhengHei Light"/>
        <family val="2"/>
        <charset val="2"/>
      </rPr>
      <t>6</t>
    </r>
    <r>
      <rPr>
        <sz val="12"/>
        <color rgb="FF000000"/>
        <rFont val="Microsoft JhengHei Light"/>
        <family val="2"/>
      </rPr>
      <t>F</t>
    </r>
    <r>
      <rPr>
        <vertAlign val="subscript"/>
        <sz val="12"/>
        <color rgb="FF000000"/>
        <rFont val="Microsoft JhengHei Light"/>
        <family val="2"/>
        <charset val="2"/>
      </rPr>
      <t>14</t>
    </r>
  </si>
  <si>
    <t>全氟庚烷（PFC-61-16）</t>
  </si>
  <si>
    <r>
      <t>n-C</t>
    </r>
    <r>
      <rPr>
        <vertAlign val="subscript"/>
        <sz val="12"/>
        <color rgb="FF000000"/>
        <rFont val="Microsoft JhengHei Light"/>
        <family val="2"/>
        <charset val="2"/>
      </rPr>
      <t>7</t>
    </r>
    <r>
      <rPr>
        <sz val="12"/>
        <color rgb="FF000000"/>
        <rFont val="Microsoft JhengHei Light"/>
        <family val="2"/>
      </rPr>
      <t>F</t>
    </r>
    <r>
      <rPr>
        <vertAlign val="subscript"/>
        <sz val="12"/>
        <color rgb="FF000000"/>
        <rFont val="Microsoft JhengHei Light"/>
        <family val="2"/>
        <charset val="2"/>
      </rPr>
      <t>16</t>
    </r>
  </si>
  <si>
    <t>全氟辛烷（PFC-71-18）</t>
  </si>
  <si>
    <r>
      <t>C</t>
    </r>
    <r>
      <rPr>
        <vertAlign val="subscript"/>
        <sz val="12"/>
        <color rgb="FF000000"/>
        <rFont val="Microsoft JhengHei Light"/>
        <family val="2"/>
        <charset val="2"/>
      </rPr>
      <t>8</t>
    </r>
    <r>
      <rPr>
        <sz val="12"/>
        <color rgb="FF000000"/>
        <rFont val="Microsoft JhengHei Light"/>
        <family val="2"/>
      </rPr>
      <t>F</t>
    </r>
    <r>
      <rPr>
        <vertAlign val="subscript"/>
        <sz val="12"/>
        <color rgb="FF000000"/>
        <rFont val="Microsoft JhengHei Light"/>
        <family val="2"/>
        <charset val="2"/>
      </rPr>
      <t>18</t>
    </r>
  </si>
  <si>
    <t>全氟萘烷（PFC-91-18）</t>
  </si>
  <si>
    <r>
      <t>C</t>
    </r>
    <r>
      <rPr>
        <vertAlign val="subscript"/>
        <sz val="12"/>
        <color rgb="FF000000"/>
        <rFont val="Microsoft JhengHei Light"/>
        <family val="2"/>
        <charset val="2"/>
      </rPr>
      <t>10</t>
    </r>
    <r>
      <rPr>
        <sz val="12"/>
        <color rgb="FF000000"/>
        <rFont val="Microsoft JhengHei Light"/>
        <family val="2"/>
      </rPr>
      <t>F</t>
    </r>
    <r>
      <rPr>
        <vertAlign val="subscript"/>
        <sz val="12"/>
        <color rgb="FF000000"/>
        <rFont val="Microsoft JhengHei Light"/>
        <family val="2"/>
        <charset val="2"/>
      </rPr>
      <t>18</t>
    </r>
  </si>
  <si>
    <t>順式全氟萘烷（Perfluorodecalin (cis) ）</t>
  </si>
  <si>
    <r>
      <t>Z-C</t>
    </r>
    <r>
      <rPr>
        <vertAlign val="subscript"/>
        <sz val="12"/>
        <color rgb="FF000000"/>
        <rFont val="Microsoft JhengHei Light"/>
        <family val="2"/>
        <charset val="2"/>
      </rPr>
      <t>10</t>
    </r>
    <r>
      <rPr>
        <sz val="12"/>
        <color rgb="FF000000"/>
        <rFont val="Microsoft JhengHei Light"/>
        <family val="2"/>
      </rPr>
      <t>F</t>
    </r>
    <r>
      <rPr>
        <vertAlign val="subscript"/>
        <sz val="12"/>
        <color rgb="FF000000"/>
        <rFont val="Microsoft JhengHei Light"/>
        <family val="2"/>
        <charset val="2"/>
      </rPr>
      <t>18</t>
    </r>
  </si>
  <si>
    <t>反式全氟萘烷（Perfluorodecalin (trans) ）</t>
  </si>
  <si>
    <r>
      <t>E-C</t>
    </r>
    <r>
      <rPr>
        <vertAlign val="subscript"/>
        <sz val="12"/>
        <color rgb="FF000000"/>
        <rFont val="Microsoft JhengHei Light"/>
        <family val="2"/>
        <charset val="2"/>
      </rPr>
      <t>10</t>
    </r>
    <r>
      <rPr>
        <sz val="12"/>
        <color rgb="FF000000"/>
        <rFont val="Microsoft JhengHei Light"/>
        <family val="2"/>
      </rPr>
      <t>F</t>
    </r>
    <r>
      <rPr>
        <vertAlign val="subscript"/>
        <sz val="12"/>
        <color rgb="FF000000"/>
        <rFont val="Microsoft JhengHei Light"/>
        <family val="2"/>
        <charset val="2"/>
      </rPr>
      <t>18</t>
    </r>
  </si>
  <si>
    <t>全氟乙烯（PFC-1114）</t>
  </si>
  <si>
    <r>
      <t>CF</t>
    </r>
    <r>
      <rPr>
        <vertAlign val="subscript"/>
        <sz val="12"/>
        <color rgb="FF000000"/>
        <rFont val="Microsoft JhengHei Light"/>
        <family val="2"/>
        <charset val="2"/>
      </rPr>
      <t>2</t>
    </r>
    <r>
      <rPr>
        <sz val="12"/>
        <color rgb="FF000000"/>
        <rFont val="Microsoft JhengHei Light"/>
        <family val="2"/>
      </rPr>
      <t>=CF</t>
    </r>
    <r>
      <rPr>
        <vertAlign val="subscript"/>
        <sz val="12"/>
        <color rgb="FF000000"/>
        <rFont val="Microsoft JhengHei Light"/>
        <family val="2"/>
        <charset val="2"/>
      </rPr>
      <t>2</t>
    </r>
  </si>
  <si>
    <t>全氟丙烯（PFC-1216）</t>
  </si>
  <si>
    <r>
      <t>CF</t>
    </r>
    <r>
      <rPr>
        <vertAlign val="subscript"/>
        <sz val="12"/>
        <color rgb="FF000000"/>
        <rFont val="Microsoft JhengHei Light"/>
        <family val="2"/>
        <charset val="2"/>
      </rPr>
      <t>3</t>
    </r>
    <r>
      <rPr>
        <sz val="12"/>
        <color rgb="FF000000"/>
        <rFont val="Microsoft JhengHei Light"/>
        <family val="2"/>
      </rPr>
      <t>CF=CF</t>
    </r>
    <r>
      <rPr>
        <vertAlign val="subscript"/>
        <sz val="12"/>
        <color rgb="FF000000"/>
        <rFont val="Microsoft JhengHei Light"/>
        <family val="2"/>
        <charset val="2"/>
      </rPr>
      <t>2</t>
    </r>
  </si>
  <si>
    <t>1,3-全氟丁二烯（Perfluorobuta-1,3-diene）</t>
  </si>
  <si>
    <r>
      <t>CF</t>
    </r>
    <r>
      <rPr>
        <vertAlign val="subscript"/>
        <sz val="12"/>
        <color rgb="FF000000"/>
        <rFont val="Microsoft JhengHei Light"/>
        <family val="2"/>
        <charset val="2"/>
      </rPr>
      <t>2</t>
    </r>
    <r>
      <rPr>
        <sz val="12"/>
        <color rgb="FF000000"/>
        <rFont val="Microsoft JhengHei Light"/>
        <family val="2"/>
      </rPr>
      <t>=CFCF=CF</t>
    </r>
    <r>
      <rPr>
        <vertAlign val="subscript"/>
        <sz val="12"/>
        <color rgb="FF000000"/>
        <rFont val="Microsoft JhengHei Light"/>
        <family val="2"/>
        <charset val="2"/>
      </rPr>
      <t>2</t>
    </r>
  </si>
  <si>
    <t>1-全氟丁烯（Perfluorobut-1-ene）</t>
  </si>
  <si>
    <r>
      <t>CF</t>
    </r>
    <r>
      <rPr>
        <vertAlign val="subscript"/>
        <sz val="12"/>
        <color rgb="FF000000"/>
        <rFont val="Microsoft JhengHei Light"/>
        <family val="2"/>
        <charset val="2"/>
      </rPr>
      <t>3</t>
    </r>
    <r>
      <rPr>
        <sz val="12"/>
        <color rgb="FF000000"/>
        <rFont val="Microsoft JhengHei Light"/>
        <family val="2"/>
      </rPr>
      <t>CF</t>
    </r>
    <r>
      <rPr>
        <vertAlign val="subscript"/>
        <sz val="12"/>
        <color rgb="FF000000"/>
        <rFont val="Microsoft JhengHei Light"/>
        <family val="2"/>
        <charset val="2"/>
      </rPr>
      <t>2</t>
    </r>
    <r>
      <rPr>
        <sz val="12"/>
        <color rgb="FF000000"/>
        <rFont val="Microsoft JhengHei Light"/>
        <family val="2"/>
      </rPr>
      <t>CF=CF</t>
    </r>
    <r>
      <rPr>
        <vertAlign val="subscript"/>
        <sz val="12"/>
        <color rgb="FF000000"/>
        <rFont val="Microsoft JhengHei Light"/>
        <family val="2"/>
        <charset val="2"/>
      </rPr>
      <t>2</t>
    </r>
  </si>
  <si>
    <t>2-全氟丁烯（Perfluorobut-2-ene）</t>
  </si>
  <si>
    <r>
      <t>CF</t>
    </r>
    <r>
      <rPr>
        <vertAlign val="subscript"/>
        <sz val="12"/>
        <color rgb="FF000000"/>
        <rFont val="Microsoft JhengHei Light"/>
        <family val="2"/>
        <charset val="2"/>
      </rPr>
      <t>3</t>
    </r>
    <r>
      <rPr>
        <sz val="12"/>
        <color rgb="FF000000"/>
        <rFont val="Microsoft JhengHei Light"/>
        <family val="2"/>
      </rPr>
      <t>CF=CFCF</t>
    </r>
    <r>
      <rPr>
        <vertAlign val="subscript"/>
        <sz val="12"/>
        <color rgb="FF000000"/>
        <rFont val="Microsoft JhengHei Light"/>
        <family val="2"/>
        <charset val="2"/>
      </rPr>
      <t>3</t>
    </r>
  </si>
  <si>
    <t>註1：適用於化石燃料所排放之甲烷。</t>
  </si>
  <si>
    <t>註2：「&lt;1」表僅需定性。</t>
  </si>
  <si>
    <t>註3：本表未列之溫室氣體得引用IPCC 最新版次評估報告之GWP。</t>
  </si>
  <si>
    <t>註4：資料來源為The Working Group I contribution to the Fifth Assessment Report of the IPCC, 2013: Climate Change 2013: The Physical Science Basis, Chapter 8: Anthropogenic and Natural Radiative Forcing, table 8.A.1。</t>
  </si>
  <si>
    <t>仟卡/公升(Kcal/l)</t>
  </si>
  <si>
    <t>仟卡/公斤(Kcal/Kg)</t>
  </si>
  <si>
    <t>仟卡/立方公尺(Kcal/m3)</t>
  </si>
  <si>
    <t>活動數據量</t>
    <phoneticPr fontId="9" type="noConversion"/>
  </si>
  <si>
    <r>
      <t>CO</t>
    </r>
    <r>
      <rPr>
        <vertAlign val="subscript"/>
        <sz val="12"/>
        <color rgb="FF000000"/>
        <rFont val="Microsoft JhengHei Light"/>
        <family val="2"/>
        <charset val="2"/>
      </rPr>
      <t>2</t>
    </r>
    <phoneticPr fontId="9" type="noConversion"/>
  </si>
  <si>
    <r>
      <t>CH</t>
    </r>
    <r>
      <rPr>
        <vertAlign val="subscript"/>
        <sz val="12"/>
        <color rgb="FF000000"/>
        <rFont val="Microsoft JhengHei Light"/>
        <family val="2"/>
        <charset val="2"/>
      </rPr>
      <t>4</t>
    </r>
    <phoneticPr fontId="9" type="noConversion"/>
  </si>
  <si>
    <r>
      <t>溫室氣體
年排放量
CO</t>
    </r>
    <r>
      <rPr>
        <vertAlign val="subscript"/>
        <sz val="12"/>
        <color rgb="FF000000"/>
        <rFont val="Microsoft JhengHei Light"/>
        <family val="2"/>
      </rPr>
      <t>2</t>
    </r>
    <r>
      <rPr>
        <sz val="12"/>
        <color rgb="FF000000"/>
        <rFont val="Microsoft JhengHei Light"/>
        <family val="2"/>
      </rPr>
      <t>e</t>
    </r>
    <phoneticPr fontId="9" type="noConversion"/>
  </si>
  <si>
    <t>CO2
GWP
參考AR5</t>
    <phoneticPr fontId="9" type="noConversion"/>
  </si>
  <si>
    <t>CH4
GWP
參考AR5</t>
    <phoneticPr fontId="9" type="noConversion"/>
  </si>
  <si>
    <t>N2O
GWP
參考AR5</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</si>
</sst>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76" formatCode="&quot; &quot;#,##0.00&quot; &quot;;&quot;-&quot;#,##0.00&quot; &quot;;&quot; -&quot;00&quot; &quot;;&quot; &quot;@&quot; &quot;"/>
    <numFmt numFmtId="177" formatCode="&quot; &quot;&quot;$&quot;#,##0.00&quot; &quot;;&quot;-&quot;&quot;$&quot;#,##0.00&quot; &quot;;&quot; &quot;&quot;$&quot;&quot;-&quot;00&quot; &quot;;&quot; &quot;@&quot; &quot;"/>
    <numFmt numFmtId="178" formatCode="m&quot;月&quot;d&quot;日&quot;"/>
    <numFmt numFmtId="179" formatCode="0.0000000000_);[Red]\(0.0000000000\)"/>
    <numFmt numFmtId="180" formatCode="0.0000000000_ "/>
    <numFmt numFmtId="181" formatCode="0.0000_ "/>
  </numFmts>
  <fonts count="30">
    <font>
      <sz val="12"/>
      <color rgb="FF000000"/>
      <name val="新細明體"/>
      <family val="1"/>
      <charset val="136"/>
    </font>
    <font>
      <sz val="12"/>
      <color rgb="FF000000"/>
      <name val="新細明體"/>
      <family val="1"/>
      <charset val="136"/>
    </font>
    <font>
      <u/>
      <sz val="12"/>
      <color rgb="FF0000FF"/>
      <name val="新細明體"/>
      <family val="1"/>
      <charset val="136"/>
    </font>
    <font>
      <b/>
      <sz val="16"/>
      <color rgb="FF000000"/>
      <name val="Microsoft JhengHei Light"/>
      <family val="2"/>
    </font>
    <font>
      <sz val="16"/>
      <color rgb="FF000000"/>
      <name val="Microsoft JhengHei Light"/>
      <family val="2"/>
    </font>
    <font>
      <b/>
      <sz val="14"/>
      <color rgb="FF000000"/>
      <name val="Microsoft JhengHei Light"/>
      <family val="2"/>
    </font>
    <font>
      <sz val="12"/>
      <color rgb="FF000000"/>
      <name val="Microsoft JhengHei Light"/>
      <family val="2"/>
    </font>
    <font>
      <b/>
      <sz val="12"/>
      <color rgb="FF000000"/>
      <name val="Microsoft JhengHei Light"/>
      <family val="2"/>
    </font>
    <font>
      <u/>
      <sz val="12"/>
      <color rgb="FF0000FF"/>
      <name val="Microsoft JhengHei Light"/>
      <family val="2"/>
    </font>
    <font>
      <sz val="9"/>
      <name val="新細明體"/>
      <family val="1"/>
      <charset val="136"/>
    </font>
    <font>
      <vertAlign val="superscript"/>
      <sz val="12"/>
      <color rgb="FF000000"/>
      <name val="Microsoft JhengHei Light"/>
      <family val="2"/>
      <charset val="2"/>
    </font>
    <font>
      <vertAlign val="subscript"/>
      <sz val="12"/>
      <color rgb="FF000000"/>
      <name val="Microsoft JhengHei Light"/>
      <family val="2"/>
      <charset val="2"/>
    </font>
    <font>
      <sz val="9"/>
      <color rgb="FF000000"/>
      <name val="Microsoft JhengHei Light"/>
      <family val="2"/>
      <charset val="2"/>
    </font>
    <font>
      <b/>
      <sz val="12"/>
      <color rgb="FF000000"/>
      <name val="微軟正黑體"/>
      <family val="2"/>
      <charset val="136"/>
    </font>
    <font>
      <sz val="12"/>
      <color rgb="FF000000"/>
      <name val="微軟正黑體"/>
      <family val="2"/>
      <charset val="136"/>
    </font>
    <font>
      <vertAlign val="subscript"/>
      <sz val="12"/>
      <color rgb="FF000000"/>
      <name val="微軟正黑體"/>
      <family val="2"/>
      <charset val="136"/>
    </font>
    <font>
      <vertAlign val="superscript"/>
      <sz val="12"/>
      <color rgb="FF000000"/>
      <name val="微軟正黑體"/>
      <family val="2"/>
      <charset val="136"/>
    </font>
    <font>
      <sz val="11"/>
      <color rgb="FF000000"/>
      <name val="Microsoft JhengHei Light"/>
      <family val="2"/>
    </font>
    <font>
      <vertAlign val="subscript"/>
      <sz val="11"/>
      <color rgb="FF000000"/>
      <name val="Microsoft JhengHei Light"/>
      <family val="2"/>
      <charset val="2"/>
    </font>
    <font>
      <sz val="10"/>
      <color rgb="FF000000"/>
      <name val="Microsoft JhengHei Light"/>
      <family val="2"/>
    </font>
    <font>
      <vertAlign val="subscript"/>
      <sz val="10"/>
      <color rgb="FF000000"/>
      <name val="Microsoft JhengHei Light"/>
      <family val="2"/>
      <charset val="2"/>
    </font>
    <font>
      <sz val="9"/>
      <color rgb="FF000000"/>
      <name val="Microsoft JhengHei Light"/>
      <family val="2"/>
    </font>
    <font>
      <vertAlign val="subscript"/>
      <sz val="9"/>
      <color rgb="FF000000"/>
      <name val="Microsoft JhengHei Light"/>
      <family val="2"/>
      <charset val="2"/>
    </font>
    <font>
      <vertAlign val="superscript"/>
      <sz val="11"/>
      <color rgb="FF000000"/>
      <name val="Microsoft JhengHei Light"/>
      <family val="2"/>
      <charset val="2"/>
    </font>
    <font>
      <sz val="12"/>
      <color rgb="FF000000"/>
      <name val="Times New Roman"/>
      <family val="1"/>
    </font>
    <font>
      <b/>
      <sz val="12"/>
      <color rgb="FF000000"/>
      <name val="新細明體"/>
      <family val="1"/>
      <charset val="136"/>
    </font>
    <font>
      <i/>
      <sz val="12"/>
      <color rgb="FF000000"/>
      <name val="微軟正黑體"/>
      <family val="2"/>
      <charset val="136"/>
    </font>
    <font>
      <i/>
      <vertAlign val="subscript"/>
      <sz val="12"/>
      <color rgb="FF000000"/>
      <name val="微軟正黑體"/>
      <family val="2"/>
      <charset val="136"/>
    </font>
    <font>
      <sz val="12"/>
      <color rgb="FF000000"/>
      <name val="Arial"/>
      <family val="2"/>
    </font>
    <font>
      <vertAlign val="subscript"/>
      <sz val="12"/>
      <color rgb="FF000000"/>
      <name val="Microsoft JhengHei Light"/>
      <family val="2"/>
    </font>
  </fonts>
  <fills count="13">
    <fill>
      <patternFill patternType="none"/>
    </fill>
    <fill>
      <patternFill patternType="gray125"/>
    </fill>
    <fill>
      <patternFill patternType="solid">
        <fgColor rgb="FFFFFF00"/>
        <bgColor rgb="FFFFFF00"/>
      </patternFill>
    </fill>
    <fill>
      <patternFill patternType="solid">
        <fgColor rgb="FFCCFFFF"/>
        <bgColor rgb="FFCCFFFF"/>
      </patternFill>
    </fill>
    <fill>
      <patternFill patternType="solid">
        <fgColor rgb="FFFFFF99"/>
        <bgColor rgb="FFFFFF99"/>
      </patternFill>
    </fill>
    <fill>
      <patternFill patternType="solid">
        <fgColor rgb="FFFFFFCC"/>
        <bgColor rgb="FFFFFFCC"/>
      </patternFill>
    </fill>
    <fill>
      <patternFill patternType="solid">
        <fgColor rgb="FFD9D9D9"/>
        <bgColor rgb="FFD9D9D9"/>
      </patternFill>
    </fill>
    <fill>
      <patternFill patternType="solid">
        <fgColor rgb="FFCAEDFB"/>
        <bgColor rgb="FFCAEDFB"/>
      </patternFill>
    </fill>
    <fill>
      <patternFill patternType="solid">
        <fgColor rgb="FFF2CEEF"/>
        <bgColor rgb="FFF2CEEF"/>
      </patternFill>
    </fill>
    <fill>
      <patternFill patternType="solid">
        <fgColor rgb="FFFFFFFF"/>
        <bgColor rgb="FFFFFFFF"/>
      </patternFill>
    </fill>
    <fill>
      <patternFill patternType="solid">
        <fgColor rgb="FFFFFF00"/>
        <bgColor indexed="64"/>
      </patternFill>
    </fill>
    <fill>
      <patternFill patternType="solid">
        <fgColor rgb="FF92D050"/>
        <bgColor indexed="64"/>
      </patternFill>
    </fill>
    <fill>
      <patternFill patternType="solid">
        <fgColor theme="5" tint="0.39997558519241921"/>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diagonalDown="1">
      <left style="thin">
        <color rgb="FF000000"/>
      </left>
      <right style="thin">
        <color rgb="FF000000"/>
      </right>
      <top style="thin">
        <color rgb="FF000000"/>
      </top>
      <bottom/>
      <diagonal style="thin">
        <color rgb="FF000000"/>
      </diagonal>
    </border>
    <border diagonalDown="1">
      <left style="thin">
        <color rgb="FF000000"/>
      </left>
      <right style="thin">
        <color rgb="FF000000"/>
      </right>
      <top style="thin">
        <color rgb="FF000000"/>
      </top>
      <bottom style="thin">
        <color rgb="FF000000"/>
      </bottom>
      <diagonal style="thin">
        <color rgb="FF000000"/>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177" fontId="1" fillId="0" borderId="0" applyFont="0" applyFill="0" applyBorder="0" applyAlignment="0" applyProtection="0"/>
    <xf numFmtId="176" fontId="1" fillId="0" borderId="0" applyFont="0" applyFill="0" applyBorder="0" applyAlignment="0" applyProtection="0"/>
    <xf numFmtId="0" fontId="2" fillId="0" borderId="0" applyNumberFormat="0" applyFill="0" applyBorder="0" applyAlignment="0" applyProtection="0"/>
  </cellStyleXfs>
  <cellXfs count="161">
    <xf numFmtId="0" fontId="0" fillId="0" borderId="0" xfId="0"/>
    <xf numFmtId="0" fontId="4" fillId="0" borderId="0" xfId="0" applyFont="1" applyAlignment="1">
      <alignment vertical="center"/>
    </xf>
    <xf numFmtId="0" fontId="5" fillId="3" borderId="1" xfId="0" applyFont="1" applyFill="1" applyBorder="1" applyAlignment="1">
      <alignment horizontal="center" vertical="center"/>
    </xf>
    <xf numFmtId="0" fontId="5" fillId="0" borderId="0" xfId="0" applyFont="1" applyAlignment="1">
      <alignment vertical="center"/>
    </xf>
    <xf numFmtId="0" fontId="6" fillId="0" borderId="1" xfId="0" applyFont="1" applyFill="1" applyBorder="1" applyAlignment="1">
      <alignment horizontal="center" vertical="center" wrapText="1"/>
    </xf>
    <xf numFmtId="0" fontId="6" fillId="0" borderId="0" xfId="0" applyFont="1"/>
    <xf numFmtId="0" fontId="6" fillId="0" borderId="1" xfId="0" applyFont="1" applyFill="1" applyBorder="1" applyAlignment="1">
      <alignment horizontal="center" vertical="center"/>
    </xf>
    <xf numFmtId="0" fontId="8" fillId="0" borderId="1" xfId="3"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0" xfId="0" applyFont="1" applyAlignment="1">
      <alignment vertical="center"/>
    </xf>
    <xf numFmtId="0" fontId="3" fillId="2"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7" fillId="4" borderId="1" xfId="0" applyFont="1" applyFill="1" applyBorder="1" applyAlignment="1">
      <alignment horizontal="left" vertical="center"/>
    </xf>
    <xf numFmtId="0" fontId="8" fillId="4" borderId="1" xfId="3" applyFont="1" applyFill="1" applyBorder="1" applyAlignment="1">
      <alignment horizontal="left" vertical="center"/>
    </xf>
    <xf numFmtId="0" fontId="6" fillId="5" borderId="1" xfId="0" applyFont="1" applyFill="1" applyBorder="1" applyAlignment="1"/>
    <xf numFmtId="0" fontId="6" fillId="0" borderId="0" xfId="0" applyFont="1" applyAlignment="1">
      <alignment horizontal="left" vertical="center"/>
    </xf>
    <xf numFmtId="0" fontId="6" fillId="0" borderId="0" xfId="0" applyFont="1" applyAlignment="1">
      <alignment horizontal="center" vertical="center" wrapText="1"/>
    </xf>
    <xf numFmtId="11" fontId="6" fillId="0" borderId="0" xfId="0" applyNumberFormat="1" applyFont="1" applyFill="1" applyAlignment="1">
      <alignment horizontal="center" vertical="center"/>
    </xf>
    <xf numFmtId="0" fontId="6" fillId="6" borderId="1" xfId="0" applyFont="1" applyFill="1" applyBorder="1" applyAlignment="1"/>
    <xf numFmtId="0" fontId="6" fillId="7" borderId="2" xfId="0" applyFont="1" applyFill="1" applyBorder="1"/>
    <xf numFmtId="0" fontId="6" fillId="8" borderId="2" xfId="0" applyFont="1" applyFill="1" applyBorder="1" applyAlignment="1"/>
    <xf numFmtId="0" fontId="7" fillId="0" borderId="0" xfId="0" applyFont="1" applyAlignment="1">
      <alignment vertical="center"/>
    </xf>
    <xf numFmtId="0" fontId="6" fillId="5" borderId="1" xfId="0" applyFont="1" applyFill="1" applyBorder="1" applyAlignment="1">
      <alignment horizontal="center" vertical="center" wrapText="1"/>
    </xf>
    <xf numFmtId="0" fontId="6" fillId="7" borderId="1" xfId="0" applyFont="1" applyFill="1" applyBorder="1" applyAlignment="1">
      <alignment horizontal="center" vertical="center"/>
    </xf>
    <xf numFmtId="11" fontId="6" fillId="8" borderId="1" xfId="0" applyNumberFormat="1"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0" borderId="1" xfId="0" applyFont="1" applyFill="1" applyBorder="1" applyAlignment="1">
      <alignment horizontal="justify" vertical="center" wrapText="1"/>
    </xf>
    <xf numFmtId="3" fontId="6" fillId="0" borderId="3" xfId="0" applyNumberFormat="1" applyFont="1" applyBorder="1" applyAlignment="1">
      <alignment horizontal="center" vertical="center"/>
    </xf>
    <xf numFmtId="0" fontId="6" fillId="0" borderId="3" xfId="0" applyFont="1" applyBorder="1" applyAlignment="1">
      <alignment horizontal="center" vertical="center"/>
    </xf>
    <xf numFmtId="11" fontId="6" fillId="0" borderId="1" xfId="0" applyNumberFormat="1" applyFont="1" applyFill="1" applyBorder="1" applyAlignment="1">
      <alignment horizontal="left" vertical="center"/>
    </xf>
    <xf numFmtId="0" fontId="6" fillId="0" borderId="1" xfId="0" applyFont="1" applyBorder="1" applyAlignment="1">
      <alignment vertical="center"/>
    </xf>
    <xf numFmtId="11" fontId="6" fillId="0" borderId="1" xfId="0" applyNumberFormat="1" applyFont="1" applyBorder="1" applyAlignment="1">
      <alignment vertical="center"/>
    </xf>
    <xf numFmtId="3" fontId="6" fillId="0" borderId="1" xfId="0" applyNumberFormat="1" applyFont="1" applyBorder="1" applyAlignment="1">
      <alignment horizontal="center" vertical="center"/>
    </xf>
    <xf numFmtId="0" fontId="6" fillId="0" borderId="1" xfId="0" applyFont="1" applyBorder="1" applyAlignment="1">
      <alignment horizontal="center" vertical="center"/>
    </xf>
    <xf numFmtId="11" fontId="6" fillId="0" borderId="1" xfId="0" applyNumberFormat="1" applyFont="1" applyFill="1" applyBorder="1" applyAlignment="1">
      <alignment horizontal="center" vertical="center"/>
    </xf>
    <xf numFmtId="0" fontId="6" fillId="0" borderId="1" xfId="0" applyFont="1" applyBorder="1" applyAlignment="1">
      <alignment horizontal="justify"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textRotation="90" wrapText="1"/>
    </xf>
    <xf numFmtId="0" fontId="6" fillId="0" borderId="1" xfId="0" applyFont="1" applyBorder="1" applyAlignment="1">
      <alignment vertical="center" wrapText="1"/>
    </xf>
    <xf numFmtId="11" fontId="6" fillId="0" borderId="0" xfId="0" applyNumberFormat="1" applyFont="1" applyAlignment="1">
      <alignment vertical="center"/>
    </xf>
    <xf numFmtId="0" fontId="6" fillId="5" borderId="1" xfId="0" applyFont="1" applyFill="1" applyBorder="1" applyAlignment="1">
      <alignment horizontal="center" vertical="center" wrapText="1"/>
    </xf>
    <xf numFmtId="11" fontId="6" fillId="6"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0" borderId="1" xfId="0" applyFont="1" applyFill="1" applyBorder="1" applyAlignment="1">
      <alignment horizontal="justify"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center" vertical="center" textRotation="90" wrapText="1"/>
    </xf>
    <xf numFmtId="0" fontId="6" fillId="0" borderId="1" xfId="0" applyFont="1" applyFill="1" applyBorder="1" applyAlignment="1">
      <alignment vertical="center" wrapText="1"/>
    </xf>
    <xf numFmtId="0" fontId="6" fillId="5" borderId="1" xfId="0" applyFont="1" applyFill="1" applyBorder="1" applyAlignment="1">
      <alignment vertical="center" wrapText="1"/>
    </xf>
    <xf numFmtId="11" fontId="6" fillId="6" borderId="1" xfId="0" applyNumberFormat="1" applyFont="1" applyFill="1" applyBorder="1" applyAlignment="1">
      <alignment vertical="center" wrapText="1"/>
    </xf>
    <xf numFmtId="11" fontId="6" fillId="0" borderId="1" xfId="0" applyNumberFormat="1" applyFont="1" applyBorder="1" applyAlignment="1">
      <alignment horizontal="center" vertical="center"/>
    </xf>
    <xf numFmtId="11" fontId="6" fillId="6" borderId="1" xfId="0" applyNumberFormat="1" applyFont="1" applyFill="1" applyBorder="1" applyAlignment="1">
      <alignment horizontal="center" vertical="center"/>
    </xf>
    <xf numFmtId="0" fontId="6" fillId="0" borderId="0" xfId="0" applyFont="1" applyAlignment="1">
      <alignment vertical="center" wrapText="1"/>
    </xf>
    <xf numFmtId="11" fontId="6" fillId="0" borderId="0" xfId="0" applyNumberFormat="1" applyFont="1" applyAlignment="1">
      <alignment vertical="center" wrapText="1"/>
    </xf>
    <xf numFmtId="0" fontId="0" fillId="0" borderId="0" xfId="0" applyAlignment="1">
      <alignment wrapText="1"/>
    </xf>
    <xf numFmtId="0" fontId="7" fillId="0" borderId="0" xfId="0" applyFont="1" applyAlignment="1">
      <alignment vertical="center" wrapText="1"/>
    </xf>
    <xf numFmtId="0" fontId="6" fillId="0" borderId="3" xfId="0" applyFont="1" applyBorder="1" applyAlignment="1">
      <alignment horizontal="center" vertical="center" wrapText="1"/>
    </xf>
    <xf numFmtId="0" fontId="13" fillId="0" borderId="0" xfId="0" applyFont="1" applyAlignment="1"/>
    <xf numFmtId="0" fontId="14" fillId="0" borderId="0" xfId="0" applyFont="1"/>
    <xf numFmtId="0" fontId="14" fillId="5" borderId="1"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0" xfId="0" applyFont="1" applyAlignment="1"/>
    <xf numFmtId="0" fontId="14" fillId="0" borderId="1" xfId="0" applyFont="1" applyBorder="1" applyAlignment="1">
      <alignment horizontal="center" vertical="center" wrapText="1"/>
    </xf>
    <xf numFmtId="0" fontId="14" fillId="5" borderId="1" xfId="0" applyFont="1" applyFill="1" applyBorder="1" applyAlignment="1">
      <alignment horizontal="center"/>
    </xf>
    <xf numFmtId="0" fontId="6" fillId="5" borderId="1" xfId="0" applyFont="1" applyFill="1" applyBorder="1" applyAlignment="1">
      <alignment horizontal="center" vertical="center"/>
    </xf>
    <xf numFmtId="0" fontId="6" fillId="0" borderId="1" xfId="0" applyFont="1" applyBorder="1" applyAlignment="1">
      <alignment horizontal="left" vertical="center" indent="1"/>
    </xf>
    <xf numFmtId="0" fontId="6" fillId="0" borderId="1" xfId="0" applyFont="1" applyBorder="1" applyAlignment="1">
      <alignment horizontal="left" vertical="center" wrapText="1" indent="1"/>
    </xf>
    <xf numFmtId="9" fontId="6" fillId="0" borderId="1" xfId="0" applyNumberFormat="1" applyFont="1" applyBorder="1" applyAlignment="1">
      <alignment horizontal="center" vertical="center" wrapText="1"/>
    </xf>
    <xf numFmtId="0" fontId="14" fillId="0" borderId="1" xfId="0" applyFont="1" applyFill="1" applyBorder="1" applyAlignment="1">
      <alignment horizontal="left" vertical="center"/>
    </xf>
    <xf numFmtId="0" fontId="14" fillId="5"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4" fillId="5" borderId="1" xfId="0" applyFont="1" applyFill="1" applyBorder="1" applyAlignment="1">
      <alignment horizontal="center"/>
    </xf>
    <xf numFmtId="0" fontId="6" fillId="5" borderId="1" xfId="0" applyFont="1" applyFill="1" applyBorder="1" applyAlignment="1">
      <alignment horizontal="center" vertical="center"/>
    </xf>
    <xf numFmtId="0" fontId="6" fillId="0" borderId="1" xfId="0" applyFont="1" applyFill="1" applyBorder="1" applyAlignment="1">
      <alignment vertical="center"/>
    </xf>
    <xf numFmtId="0" fontId="7" fillId="0" borderId="0" xfId="0" applyFont="1"/>
    <xf numFmtId="0" fontId="6" fillId="5" borderId="1" xfId="0" applyFont="1" applyFill="1" applyBorder="1" applyAlignment="1">
      <alignment horizontal="center" wrapText="1"/>
    </xf>
    <xf numFmtId="0" fontId="6" fillId="5" borderId="1" xfId="0" applyFont="1" applyFill="1" applyBorder="1" applyAlignment="1">
      <alignment horizontal="center"/>
    </xf>
    <xf numFmtId="0" fontId="6" fillId="0" borderId="1" xfId="0" applyFont="1" applyBorder="1" applyAlignment="1">
      <alignment horizontal="center" wrapText="1"/>
    </xf>
    <xf numFmtId="0" fontId="6" fillId="0" borderId="1" xfId="0" applyFont="1" applyBorder="1" applyAlignment="1">
      <alignment horizontal="center"/>
    </xf>
    <xf numFmtId="0" fontId="6" fillId="0" borderId="0" xfId="0" applyFont="1" applyAlignment="1"/>
    <xf numFmtId="0" fontId="17" fillId="5" borderId="6" xfId="0" applyFont="1" applyFill="1" applyBorder="1" applyAlignment="1">
      <alignment horizontal="left" vertical="center" wrapText="1"/>
    </xf>
    <xf numFmtId="0" fontId="17" fillId="5"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7" fillId="5" borderId="7" xfId="0" applyFont="1" applyFill="1" applyBorder="1" applyAlignment="1">
      <alignment horizontal="left" vertical="center" wrapText="1"/>
    </xf>
    <xf numFmtId="0" fontId="17" fillId="0" borderId="1" xfId="0" applyFont="1" applyBorder="1" applyAlignment="1">
      <alignment horizontal="center" vertical="center"/>
    </xf>
    <xf numFmtId="0" fontId="6" fillId="5" borderId="7" xfId="0" applyFont="1" applyFill="1" applyBorder="1" applyAlignment="1">
      <alignment horizontal="center" vertical="center" wrapText="1"/>
    </xf>
    <xf numFmtId="11" fontId="6" fillId="0" borderId="1" xfId="0" applyNumberFormat="1" applyFont="1" applyBorder="1" applyAlignment="1">
      <alignment horizontal="center" vertical="center" wrapText="1"/>
    </xf>
    <xf numFmtId="0" fontId="6" fillId="5" borderId="7" xfId="0" applyFont="1" applyFill="1" applyBorder="1" applyAlignment="1">
      <alignment horizontal="left" vertical="center" wrapText="1"/>
    </xf>
    <xf numFmtId="0" fontId="6" fillId="0" borderId="1" xfId="0" applyFont="1" applyFill="1" applyBorder="1" applyAlignment="1">
      <alignment horizontal="left" vertical="center"/>
    </xf>
    <xf numFmtId="0" fontId="13" fillId="0" borderId="0" xfId="0" applyFont="1"/>
    <xf numFmtId="0" fontId="14" fillId="5" borderId="1" xfId="0" applyFont="1" applyFill="1" applyBorder="1" applyAlignment="1">
      <alignment vertical="center"/>
    </xf>
    <xf numFmtId="0" fontId="14" fillId="0" borderId="1" xfId="0" applyFont="1" applyBorder="1" applyAlignment="1">
      <alignment vertical="center"/>
    </xf>
    <xf numFmtId="0" fontId="14" fillId="5" borderId="1" xfId="0" applyFont="1" applyFill="1" applyBorder="1" applyAlignment="1">
      <alignment horizontal="center" vertical="center"/>
    </xf>
    <xf numFmtId="0" fontId="14" fillId="0" borderId="1" xfId="0" applyFont="1" applyBorder="1" applyAlignment="1">
      <alignment horizontal="center" vertical="center"/>
    </xf>
    <xf numFmtId="178" fontId="14" fillId="0" borderId="1" xfId="0" applyNumberFormat="1" applyFont="1" applyBorder="1" applyAlignment="1">
      <alignment horizontal="center" vertical="center"/>
    </xf>
    <xf numFmtId="0" fontId="14" fillId="0" borderId="1" xfId="0" applyFont="1" applyBorder="1" applyAlignment="1">
      <alignment horizontal="justify" vertical="center"/>
    </xf>
    <xf numFmtId="0" fontId="14" fillId="5" borderId="7" xfId="0" applyFont="1" applyFill="1" applyBorder="1" applyAlignment="1">
      <alignment horizontal="left" vertical="center" wrapText="1"/>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1" xfId="0" applyFont="1" applyFill="1" applyBorder="1" applyAlignment="1">
      <alignment vertical="center"/>
    </xf>
    <xf numFmtId="0" fontId="14" fillId="5" borderId="1" xfId="0" applyFont="1" applyFill="1" applyBorder="1" applyAlignment="1">
      <alignment horizontal="center" vertical="center"/>
    </xf>
    <xf numFmtId="0" fontId="14" fillId="0" borderId="1" xfId="0" applyFont="1" applyFill="1" applyBorder="1" applyAlignment="1">
      <alignment horizontal="center" vertical="center"/>
    </xf>
    <xf numFmtId="0" fontId="14" fillId="5" borderId="1" xfId="0" applyFont="1" applyFill="1" applyBorder="1" applyAlignment="1">
      <alignment vertical="center"/>
    </xf>
    <xf numFmtId="0" fontId="7" fillId="0" borderId="0" xfId="0" applyFont="1" applyAlignment="1">
      <alignment horizontal="left"/>
    </xf>
    <xf numFmtId="0" fontId="6" fillId="9" borderId="1" xfId="0" applyFont="1" applyFill="1" applyBorder="1" applyAlignment="1">
      <alignment horizontal="left" vertical="center"/>
    </xf>
    <xf numFmtId="0" fontId="6" fillId="9" borderId="1" xfId="0" applyFont="1" applyFill="1" applyBorder="1" applyAlignment="1">
      <alignment horizontal="center" vertical="center"/>
    </xf>
    <xf numFmtId="3" fontId="6" fillId="9" borderId="1" xfId="0" applyNumberFormat="1" applyFont="1" applyFill="1" applyBorder="1" applyAlignment="1">
      <alignment horizontal="center" vertical="center"/>
    </xf>
    <xf numFmtId="0" fontId="6" fillId="0" borderId="0" xfId="0" applyFont="1" applyAlignment="1">
      <alignment horizontal="left"/>
    </xf>
    <xf numFmtId="0" fontId="6" fillId="9" borderId="1" xfId="0" applyFont="1" applyFill="1" applyBorder="1" applyAlignment="1">
      <alignment vertical="center"/>
    </xf>
    <xf numFmtId="0" fontId="6" fillId="10" borderId="1" xfId="0" applyFont="1" applyFill="1" applyBorder="1" applyAlignment="1">
      <alignment horizontal="justify" vertical="center" wrapText="1"/>
    </xf>
    <xf numFmtId="3" fontId="6" fillId="10"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11" fontId="6" fillId="10" borderId="1" xfId="0" applyNumberFormat="1" applyFont="1" applyFill="1" applyBorder="1" applyAlignment="1">
      <alignment horizontal="left" vertical="center"/>
    </xf>
    <xf numFmtId="0" fontId="6" fillId="10" borderId="1" xfId="0" applyFont="1" applyFill="1" applyBorder="1" applyAlignment="1">
      <alignment vertical="center"/>
    </xf>
    <xf numFmtId="0" fontId="0" fillId="10" borderId="0" xfId="0" applyFill="1"/>
    <xf numFmtId="179" fontId="6" fillId="0" borderId="0" xfId="0" applyNumberFormat="1" applyFont="1" applyAlignment="1">
      <alignment horizontal="center" vertical="center" wrapText="1"/>
    </xf>
    <xf numFmtId="179" fontId="6" fillId="6" borderId="1" xfId="0" applyNumberFormat="1" applyFont="1" applyFill="1" applyBorder="1" applyAlignment="1">
      <alignment horizontal="center" vertical="center" wrapText="1"/>
    </xf>
    <xf numFmtId="179" fontId="6" fillId="6" borderId="1" xfId="0" applyNumberFormat="1" applyFont="1" applyFill="1" applyBorder="1" applyAlignment="1">
      <alignment horizontal="center" vertical="center" wrapText="1"/>
    </xf>
    <xf numFmtId="179" fontId="6" fillId="0" borderId="3" xfId="0" applyNumberFormat="1" applyFont="1" applyFill="1" applyBorder="1" applyAlignment="1">
      <alignment horizontal="center" vertical="center"/>
    </xf>
    <xf numFmtId="179" fontId="6" fillId="0" borderId="4" xfId="0" applyNumberFormat="1" applyFont="1" applyFill="1" applyBorder="1" applyAlignment="1">
      <alignment horizontal="center" vertical="center"/>
    </xf>
    <xf numFmtId="179" fontId="6" fillId="0" borderId="1" xfId="0" applyNumberFormat="1" applyFont="1" applyFill="1" applyBorder="1" applyAlignment="1">
      <alignment horizontal="center" vertical="center"/>
    </xf>
    <xf numFmtId="179" fontId="6" fillId="0" borderId="5" xfId="0" applyNumberFormat="1" applyFont="1" applyFill="1" applyBorder="1" applyAlignment="1">
      <alignment horizontal="center" vertical="center"/>
    </xf>
    <xf numFmtId="179" fontId="6" fillId="10" borderId="1" xfId="0" applyNumberFormat="1" applyFont="1" applyFill="1" applyBorder="1" applyAlignment="1">
      <alignment horizontal="center" vertical="center"/>
    </xf>
    <xf numFmtId="179" fontId="6" fillId="10" borderId="5" xfId="0" applyNumberFormat="1" applyFont="1" applyFill="1" applyBorder="1" applyAlignment="1">
      <alignment horizontal="center" vertical="center"/>
    </xf>
    <xf numFmtId="179" fontId="6" fillId="0" borderId="0" xfId="0" applyNumberFormat="1" applyFont="1" applyAlignment="1">
      <alignment vertical="center"/>
    </xf>
    <xf numFmtId="180" fontId="6" fillId="10" borderId="1" xfId="0" applyNumberFormat="1" applyFont="1" applyFill="1" applyBorder="1" applyAlignment="1">
      <alignment vertical="center"/>
    </xf>
    <xf numFmtId="0" fontId="6" fillId="8" borderId="5" xfId="0" applyFont="1" applyFill="1" applyBorder="1" applyAlignment="1">
      <alignment horizontal="center" vertical="center"/>
    </xf>
    <xf numFmtId="11" fontId="6" fillId="8" borderId="5" xfId="0" applyNumberFormat="1" applyFont="1" applyFill="1" applyBorder="1" applyAlignment="1">
      <alignment horizontal="center" vertical="center" wrapText="1"/>
    </xf>
    <xf numFmtId="0" fontId="6" fillId="8" borderId="5" xfId="0" applyFont="1" applyFill="1" applyBorder="1" applyAlignment="1">
      <alignment horizontal="center" vertical="center" wrapText="1"/>
    </xf>
    <xf numFmtId="0" fontId="6" fillId="12" borderId="8" xfId="0" applyFont="1" applyFill="1" applyBorder="1" applyAlignment="1">
      <alignment horizontal="center" vertical="center"/>
    </xf>
    <xf numFmtId="0" fontId="6" fillId="12" borderId="8" xfId="0" applyFont="1" applyFill="1" applyBorder="1" applyAlignment="1">
      <alignment horizontal="center" vertical="center" wrapText="1"/>
    </xf>
    <xf numFmtId="11" fontId="6" fillId="0" borderId="5" xfId="0" applyNumberFormat="1" applyFont="1" applyBorder="1" applyAlignment="1">
      <alignment vertical="center"/>
    </xf>
    <xf numFmtId="180" fontId="6" fillId="10" borderId="5" xfId="0" applyNumberFormat="1" applyFont="1" applyFill="1" applyBorder="1" applyAlignment="1">
      <alignment vertical="center"/>
    </xf>
    <xf numFmtId="0" fontId="6" fillId="8" borderId="8" xfId="0" applyFont="1" applyFill="1" applyBorder="1" applyAlignment="1">
      <alignment horizontal="center" vertical="center"/>
    </xf>
    <xf numFmtId="0" fontId="6" fillId="11" borderId="8" xfId="0" applyFont="1" applyFill="1" applyBorder="1" applyAlignment="1">
      <alignment horizontal="center" vertical="center" wrapText="1"/>
    </xf>
    <xf numFmtId="11" fontId="6" fillId="8" borderId="8" xfId="0" applyNumberFormat="1" applyFont="1" applyFill="1" applyBorder="1" applyAlignment="1">
      <alignment horizontal="center" vertical="center" wrapText="1"/>
    </xf>
    <xf numFmtId="0" fontId="6" fillId="11" borderId="8" xfId="0" applyFont="1" applyFill="1" applyBorder="1" applyAlignment="1">
      <alignment horizontal="center" vertical="center"/>
    </xf>
    <xf numFmtId="0" fontId="6" fillId="8" borderId="8" xfId="0" applyFont="1" applyFill="1" applyBorder="1" applyAlignment="1">
      <alignment horizontal="center" vertical="center" wrapText="1"/>
    </xf>
    <xf numFmtId="0" fontId="6" fillId="12" borderId="8" xfId="0" applyFont="1" applyFill="1" applyBorder="1" applyAlignment="1">
      <alignment vertical="center"/>
    </xf>
    <xf numFmtId="0" fontId="6" fillId="0" borderId="8" xfId="0" applyFont="1" applyBorder="1" applyAlignment="1">
      <alignment vertical="center"/>
    </xf>
    <xf numFmtId="0" fontId="0" fillId="12" borderId="8" xfId="0" applyFill="1" applyBorder="1"/>
    <xf numFmtId="181" fontId="0" fillId="10" borderId="8" xfId="0" applyNumberFormat="1" applyFill="1" applyBorder="1"/>
    <xf numFmtId="0" fontId="0" fillId="0" borderId="8" xfId="0" applyBorder="1"/>
    <xf numFmtId="0" fontId="0" fillId="10" borderId="8" xfId="0" applyFill="1" applyBorder="1"/>
    <xf numFmtId="0" fontId="6" fillId="10" borderId="1" xfId="0" applyFont="1" applyFill="1" applyBorder="1" applyAlignment="1">
      <alignment horizontal="justify" vertical="center" wrapText="1"/>
    </xf>
    <xf numFmtId="0" fontId="6" fillId="10" borderId="0" xfId="0" applyFont="1" applyFill="1" applyAlignment="1">
      <alignment vertical="center"/>
    </xf>
    <xf numFmtId="11" fontId="6" fillId="0" borderId="5" xfId="0" applyNumberFormat="1" applyFont="1" applyBorder="1" applyAlignment="1">
      <alignment horizontal="center" vertical="center"/>
    </xf>
    <xf numFmtId="0" fontId="6" fillId="8" borderId="8" xfId="0" applyFont="1" applyFill="1" applyBorder="1" applyAlignment="1">
      <alignment vertical="center"/>
    </xf>
    <xf numFmtId="179" fontId="6" fillId="0" borderId="5" xfId="0" applyNumberFormat="1" applyFont="1" applyBorder="1" applyAlignment="1">
      <alignment vertical="center"/>
    </xf>
    <xf numFmtId="181" fontId="0" fillId="0" borderId="8" xfId="0" applyNumberFormat="1" applyBorder="1"/>
    <xf numFmtId="0" fontId="6" fillId="11" borderId="9" xfId="0" applyFont="1" applyFill="1" applyBorder="1" applyAlignment="1">
      <alignment horizontal="center" vertical="center" wrapText="1"/>
    </xf>
    <xf numFmtId="0" fontId="6" fillId="11" borderId="10" xfId="0" applyFont="1" applyFill="1" applyBorder="1" applyAlignment="1">
      <alignment horizontal="center" vertical="center" wrapText="1"/>
    </xf>
    <xf numFmtId="0" fontId="6" fillId="11" borderId="11" xfId="0" applyFont="1" applyFill="1" applyBorder="1" applyAlignment="1">
      <alignment horizontal="center" vertical="center" wrapText="1"/>
    </xf>
    <xf numFmtId="181" fontId="6" fillId="0" borderId="8" xfId="0" applyNumberFormat="1" applyFont="1" applyBorder="1" applyAlignment="1">
      <alignment vertical="center"/>
    </xf>
    <xf numFmtId="181" fontId="6" fillId="0" borderId="0" xfId="0" applyNumberFormat="1" applyFont="1" applyAlignment="1">
      <alignment vertical="center"/>
    </xf>
  </cellXfs>
  <cellStyles count="4">
    <cellStyle name="一般" xfId="0" builtinId="0" customBuiltin="1"/>
    <cellStyle name="千分位 2" xfId="2"/>
    <cellStyle name="貨幣" xfId="1" builtinId="4" customBuiltin="1"/>
    <cellStyle name="超連結"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3</xdr:col>
      <xdr:colOff>22860</xdr:colOff>
      <xdr:row>4</xdr:row>
      <xdr:rowOff>22860</xdr:rowOff>
    </xdr:from>
    <xdr:ext cx="1772692" cy="175263"/>
    <xdr:pic>
      <xdr:nvPicPr>
        <xdr:cNvPr id="2" name="圖片 1">
          <a:extLst>
            <a:ext uri="{FF2B5EF4-FFF2-40B4-BE49-F238E27FC236}">
              <a16:creationId xmlns:a16="http://schemas.microsoft.com/office/drawing/2014/main" id="{00000000-0000-0000-0000-000000000000}"/>
            </a:ext>
          </a:extLst>
        </xdr:cNvPr>
        <xdr:cNvPicPr>
          <a:picLocks noChangeAspect="1"/>
        </xdr:cNvPicPr>
      </xdr:nvPicPr>
      <xdr:blipFill>
        <a:blip xmlns:r="http://schemas.openxmlformats.org/officeDocument/2006/relationships" r:embed="rId1"/>
        <a:srcRect/>
        <a:stretch>
          <a:fillRect/>
        </a:stretch>
      </xdr:blipFill>
      <xdr:spPr>
        <a:xfrm>
          <a:off x="3351848" y="803910"/>
          <a:ext cx="1772692" cy="175263"/>
        </a:xfrm>
        <a:prstGeom prst="rect">
          <a:avLst/>
        </a:prstGeom>
        <a:noFill/>
        <a:ln cap="flat">
          <a:noFill/>
        </a:ln>
      </xdr:spPr>
    </xdr:pic>
    <xdr:clientData/>
  </xdr:oneCellAnchor>
  <xdr:oneCellAnchor>
    <xdr:from>
      <xdr:col>3</xdr:col>
      <xdr:colOff>22860</xdr:colOff>
      <xdr:row>6</xdr:row>
      <xdr:rowOff>15243</xdr:rowOff>
    </xdr:from>
    <xdr:ext cx="1034936" cy="175263"/>
    <xdr:pic>
      <xdr:nvPicPr>
        <xdr:cNvPr id="3" name="圖片 10">
          <a:extLst>
            <a:ext uri="{FF2B5EF4-FFF2-40B4-BE49-F238E27FC236}">
              <a16:creationId xmlns:a16="http://schemas.microsoft.com/office/drawing/2014/main" id="{00000000-0000-0000-0000-000000000000}"/>
            </a:ext>
          </a:extLst>
        </xdr:cNvPr>
        <xdr:cNvPicPr>
          <a:picLocks noChangeAspect="1"/>
        </xdr:cNvPicPr>
      </xdr:nvPicPr>
      <xdr:blipFill>
        <a:blip xmlns:r="http://schemas.openxmlformats.org/officeDocument/2006/relationships" r:embed="rId2"/>
        <a:srcRect/>
        <a:stretch>
          <a:fillRect/>
        </a:stretch>
      </xdr:blipFill>
      <xdr:spPr>
        <a:xfrm>
          <a:off x="3351848" y="1186818"/>
          <a:ext cx="1034936" cy="175263"/>
        </a:xfrm>
        <a:prstGeom prst="rect">
          <a:avLst/>
        </a:prstGeom>
        <a:noFill/>
        <a:ln cap="flat">
          <a:noFill/>
        </a:ln>
      </xdr:spPr>
    </xdr:pic>
    <xdr:clientData/>
  </xdr:oneCellAnchor>
  <xdr:oneCellAnchor>
    <xdr:from>
      <xdr:col>3</xdr:col>
      <xdr:colOff>22860</xdr:colOff>
      <xdr:row>8</xdr:row>
      <xdr:rowOff>22860</xdr:rowOff>
    </xdr:from>
    <xdr:ext cx="1376446" cy="369225"/>
    <xdr:pic>
      <xdr:nvPicPr>
        <xdr:cNvPr id="4" name="圖片 11">
          <a:extLst>
            <a:ext uri="{FF2B5EF4-FFF2-40B4-BE49-F238E27FC236}">
              <a16:creationId xmlns:a16="http://schemas.microsoft.com/office/drawing/2014/main" id="{00000000-0000-0000-0000-000000000000}"/>
            </a:ext>
          </a:extLst>
        </xdr:cNvPr>
        <xdr:cNvPicPr>
          <a:picLocks noChangeAspect="1"/>
        </xdr:cNvPicPr>
      </xdr:nvPicPr>
      <xdr:blipFill>
        <a:blip xmlns:r="http://schemas.openxmlformats.org/officeDocument/2006/relationships" r:embed="rId3"/>
        <a:srcRect/>
        <a:stretch>
          <a:fillRect/>
        </a:stretch>
      </xdr:blipFill>
      <xdr:spPr>
        <a:xfrm>
          <a:off x="3351848" y="1584960"/>
          <a:ext cx="1376446" cy="369225"/>
        </a:xfrm>
        <a:prstGeom prst="rect">
          <a:avLst/>
        </a:prstGeom>
        <a:noFill/>
        <a:ln cap="flat">
          <a:noFill/>
        </a:ln>
      </xdr:spPr>
    </xdr:pic>
    <xdr:clientData/>
  </xdr:oneCellAnchor>
  <xdr:oneCellAnchor>
    <xdr:from>
      <xdr:col>3</xdr:col>
      <xdr:colOff>22860</xdr:colOff>
      <xdr:row>11</xdr:row>
      <xdr:rowOff>22860</xdr:rowOff>
    </xdr:from>
    <xdr:ext cx="1141610" cy="369225"/>
    <xdr:pic>
      <xdr:nvPicPr>
        <xdr:cNvPr id="5" name="圖片 13">
          <a:extLst>
            <a:ext uri="{FF2B5EF4-FFF2-40B4-BE49-F238E27FC236}">
              <a16:creationId xmlns:a16="http://schemas.microsoft.com/office/drawing/2014/main" id="{00000000-0000-0000-0000-000000000000}"/>
            </a:ext>
          </a:extLst>
        </xdr:cNvPr>
        <xdr:cNvPicPr>
          <a:picLocks noChangeAspect="1"/>
        </xdr:cNvPicPr>
      </xdr:nvPicPr>
      <xdr:blipFill>
        <a:blip xmlns:r="http://schemas.openxmlformats.org/officeDocument/2006/relationships" r:embed="rId4"/>
        <a:srcRect/>
        <a:stretch>
          <a:fillRect/>
        </a:stretch>
      </xdr:blipFill>
      <xdr:spPr>
        <a:xfrm>
          <a:off x="3351848" y="2208848"/>
          <a:ext cx="1141610" cy="369225"/>
        </a:xfrm>
        <a:prstGeom prst="rect">
          <a:avLst/>
        </a:prstGeom>
        <a:noFill/>
        <a:ln cap="flat">
          <a:noFill/>
        </a:ln>
      </xdr:spPr>
    </xdr:pic>
    <xdr:clientData/>
  </xdr:oneCellAnchor>
  <xdr:oneCellAnchor>
    <xdr:from>
      <xdr:col>3</xdr:col>
      <xdr:colOff>30476</xdr:colOff>
      <xdr:row>18</xdr:row>
      <xdr:rowOff>53336</xdr:rowOff>
    </xdr:from>
    <xdr:ext cx="2119743" cy="293019"/>
    <xdr:pic>
      <xdr:nvPicPr>
        <xdr:cNvPr id="6" name="圖片 14">
          <a:extLst>
            <a:ext uri="{FF2B5EF4-FFF2-40B4-BE49-F238E27FC236}">
              <a16:creationId xmlns:a16="http://schemas.microsoft.com/office/drawing/2014/main" id="{00000000-0000-0000-0000-000000000000}"/>
            </a:ext>
          </a:extLst>
        </xdr:cNvPr>
        <xdr:cNvPicPr>
          <a:picLocks noChangeAspect="1"/>
        </xdr:cNvPicPr>
      </xdr:nvPicPr>
      <xdr:blipFill>
        <a:blip xmlns:r="http://schemas.openxmlformats.org/officeDocument/2006/relationships" r:embed="rId5"/>
        <a:srcRect/>
        <a:stretch>
          <a:fillRect/>
        </a:stretch>
      </xdr:blipFill>
      <xdr:spPr>
        <a:xfrm>
          <a:off x="3359464" y="3644261"/>
          <a:ext cx="2119743" cy="293019"/>
        </a:xfrm>
        <a:prstGeom prst="rect">
          <a:avLst/>
        </a:prstGeom>
        <a:noFill/>
        <a:ln cap="flat">
          <a:noFill/>
        </a:ln>
      </xdr:spPr>
    </xdr:pic>
    <xdr:clientData/>
  </xdr:oneCellAnchor>
  <xdr:oneCellAnchor>
    <xdr:from>
      <xdr:col>3</xdr:col>
      <xdr:colOff>22860</xdr:colOff>
      <xdr:row>21</xdr:row>
      <xdr:rowOff>15243</xdr:rowOff>
    </xdr:from>
    <xdr:ext cx="1118750" cy="175263"/>
    <xdr:pic>
      <xdr:nvPicPr>
        <xdr:cNvPr id="7" name="圖片 15">
          <a:extLst>
            <a:ext uri="{FF2B5EF4-FFF2-40B4-BE49-F238E27FC236}">
              <a16:creationId xmlns:a16="http://schemas.microsoft.com/office/drawing/2014/main" id="{00000000-0000-0000-0000-000000000000}"/>
            </a:ext>
          </a:extLst>
        </xdr:cNvPr>
        <xdr:cNvPicPr>
          <a:picLocks noChangeAspect="1"/>
        </xdr:cNvPicPr>
      </xdr:nvPicPr>
      <xdr:blipFill>
        <a:blip xmlns:r="http://schemas.openxmlformats.org/officeDocument/2006/relationships" r:embed="rId6"/>
        <a:srcRect/>
        <a:stretch>
          <a:fillRect/>
        </a:stretch>
      </xdr:blipFill>
      <xdr:spPr>
        <a:xfrm>
          <a:off x="3351848" y="4191956"/>
          <a:ext cx="1118750" cy="175263"/>
        </a:xfrm>
        <a:prstGeom prst="rect">
          <a:avLst/>
        </a:prstGeom>
        <a:noFill/>
        <a:ln cap="flat">
          <a:noFill/>
        </a:ln>
      </xdr:spPr>
    </xdr:pic>
    <xdr:clientData/>
  </xdr:oneCellAnchor>
  <xdr:oneCellAnchor>
    <xdr:from>
      <xdr:col>3</xdr:col>
      <xdr:colOff>22860</xdr:colOff>
      <xdr:row>23</xdr:row>
      <xdr:rowOff>22860</xdr:rowOff>
    </xdr:from>
    <xdr:ext cx="1483129" cy="369225"/>
    <xdr:pic>
      <xdr:nvPicPr>
        <xdr:cNvPr id="8" name="圖片 16">
          <a:extLst>
            <a:ext uri="{FF2B5EF4-FFF2-40B4-BE49-F238E27FC236}">
              <a16:creationId xmlns:a16="http://schemas.microsoft.com/office/drawing/2014/main" id="{00000000-0000-0000-0000-000000000000}"/>
            </a:ext>
          </a:extLst>
        </xdr:cNvPr>
        <xdr:cNvPicPr>
          <a:picLocks noChangeAspect="1"/>
        </xdr:cNvPicPr>
      </xdr:nvPicPr>
      <xdr:blipFill>
        <a:blip xmlns:r="http://schemas.openxmlformats.org/officeDocument/2006/relationships" r:embed="rId7"/>
        <a:srcRect/>
        <a:stretch>
          <a:fillRect/>
        </a:stretch>
      </xdr:blipFill>
      <xdr:spPr>
        <a:xfrm>
          <a:off x="3351848" y="4590098"/>
          <a:ext cx="1483129" cy="369225"/>
        </a:xfrm>
        <a:prstGeom prst="rect">
          <a:avLst/>
        </a:prstGeom>
        <a:noFill/>
        <a:ln cap="flat">
          <a:noFill/>
        </a:ln>
      </xdr:spPr>
    </xdr:pic>
    <xdr:clientData/>
  </xdr:oneCellAnchor>
  <xdr:oneCellAnchor>
    <xdr:from>
      <xdr:col>3</xdr:col>
      <xdr:colOff>22860</xdr:colOff>
      <xdr:row>114</xdr:row>
      <xdr:rowOff>30476</xdr:rowOff>
    </xdr:from>
    <xdr:ext cx="2603269" cy="346365"/>
    <xdr:pic>
      <xdr:nvPicPr>
        <xdr:cNvPr id="9" name="圖片 17">
          <a:extLst>
            <a:ext uri="{FF2B5EF4-FFF2-40B4-BE49-F238E27FC236}">
              <a16:creationId xmlns:a16="http://schemas.microsoft.com/office/drawing/2014/main" id="{00000000-0000-0000-0000-000000000000}"/>
            </a:ext>
          </a:extLst>
        </xdr:cNvPr>
        <xdr:cNvPicPr>
          <a:picLocks noChangeAspect="1"/>
        </xdr:cNvPicPr>
      </xdr:nvPicPr>
      <xdr:blipFill>
        <a:blip xmlns:r="http://schemas.openxmlformats.org/officeDocument/2006/relationships" r:embed="rId8"/>
        <a:srcRect/>
        <a:stretch>
          <a:fillRect/>
        </a:stretch>
      </xdr:blipFill>
      <xdr:spPr>
        <a:xfrm>
          <a:off x="3351848" y="25714639"/>
          <a:ext cx="2603269" cy="346365"/>
        </a:xfrm>
        <a:prstGeom prst="rect">
          <a:avLst/>
        </a:prstGeom>
        <a:noFill/>
        <a:ln cap="flat">
          <a:noFill/>
        </a:ln>
      </xdr:spPr>
    </xdr:pic>
    <xdr:clientData/>
  </xdr:oneCellAnchor>
  <xdr:oneCellAnchor>
    <xdr:from>
      <xdr:col>3</xdr:col>
      <xdr:colOff>30476</xdr:colOff>
      <xdr:row>117</xdr:row>
      <xdr:rowOff>0</xdr:rowOff>
    </xdr:from>
    <xdr:ext cx="1292632" cy="198123"/>
    <xdr:pic>
      <xdr:nvPicPr>
        <xdr:cNvPr id="10" name="圖片 18">
          <a:extLst>
            <a:ext uri="{FF2B5EF4-FFF2-40B4-BE49-F238E27FC236}">
              <a16:creationId xmlns:a16="http://schemas.microsoft.com/office/drawing/2014/main" id="{00000000-0000-0000-0000-000000000000}"/>
            </a:ext>
          </a:extLst>
        </xdr:cNvPr>
        <xdr:cNvPicPr>
          <a:picLocks noChangeAspect="1"/>
        </xdr:cNvPicPr>
      </xdr:nvPicPr>
      <xdr:blipFill>
        <a:blip xmlns:r="http://schemas.openxmlformats.org/officeDocument/2006/relationships" r:embed="rId9"/>
        <a:srcRect/>
        <a:stretch>
          <a:fillRect/>
        </a:stretch>
      </xdr:blipFill>
      <xdr:spPr>
        <a:xfrm>
          <a:off x="3359464" y="26269950"/>
          <a:ext cx="1292632" cy="198123"/>
        </a:xfrm>
        <a:prstGeom prst="rect">
          <a:avLst/>
        </a:prstGeom>
        <a:noFill/>
        <a:ln cap="flat">
          <a:noFill/>
        </a:ln>
      </xdr:spPr>
    </xdr:pic>
    <xdr:clientData/>
  </xdr:oneCellAnchor>
  <xdr:oneCellAnchor>
    <xdr:from>
      <xdr:col>3</xdr:col>
      <xdr:colOff>22860</xdr:colOff>
      <xdr:row>119</xdr:row>
      <xdr:rowOff>22860</xdr:rowOff>
    </xdr:from>
    <xdr:ext cx="752990" cy="353982"/>
    <xdr:pic>
      <xdr:nvPicPr>
        <xdr:cNvPr id="11" name="圖片 19">
          <a:extLst>
            <a:ext uri="{FF2B5EF4-FFF2-40B4-BE49-F238E27FC236}">
              <a16:creationId xmlns:a16="http://schemas.microsoft.com/office/drawing/2014/main" id="{00000000-0000-0000-0000-000000000000}"/>
            </a:ext>
          </a:extLst>
        </xdr:cNvPr>
        <xdr:cNvPicPr>
          <a:picLocks noChangeAspect="1"/>
        </xdr:cNvPicPr>
      </xdr:nvPicPr>
      <xdr:blipFill>
        <a:blip xmlns:r="http://schemas.openxmlformats.org/officeDocument/2006/relationships" r:embed="rId10"/>
        <a:srcRect/>
        <a:stretch>
          <a:fillRect/>
        </a:stretch>
      </xdr:blipFill>
      <xdr:spPr>
        <a:xfrm>
          <a:off x="3351848" y="26683335"/>
          <a:ext cx="752990" cy="353982"/>
        </a:xfrm>
        <a:prstGeom prst="rect">
          <a:avLst/>
        </a:prstGeom>
        <a:noFill/>
        <a:ln cap="flat">
          <a:noFill/>
        </a:ln>
      </xdr:spPr>
    </xdr:pic>
    <xdr:clientData/>
  </xdr:oneCellAnchor>
  <xdr:oneCellAnchor>
    <xdr:from>
      <xdr:col>3</xdr:col>
      <xdr:colOff>15243</xdr:colOff>
      <xdr:row>122</xdr:row>
      <xdr:rowOff>0</xdr:rowOff>
    </xdr:from>
    <xdr:ext cx="1300249" cy="387925"/>
    <xdr:pic>
      <xdr:nvPicPr>
        <xdr:cNvPr id="12" name="圖片 20">
          <a:extLst>
            <a:ext uri="{FF2B5EF4-FFF2-40B4-BE49-F238E27FC236}">
              <a16:creationId xmlns:a16="http://schemas.microsoft.com/office/drawing/2014/main" id="{00000000-0000-0000-0000-000000000000}"/>
            </a:ext>
          </a:extLst>
        </xdr:cNvPr>
        <xdr:cNvPicPr>
          <a:picLocks noChangeAspect="1"/>
        </xdr:cNvPicPr>
      </xdr:nvPicPr>
      <xdr:blipFill>
        <a:blip xmlns:r="http://schemas.openxmlformats.org/officeDocument/2006/relationships" r:embed="rId11"/>
        <a:srcRect/>
        <a:stretch>
          <a:fillRect/>
        </a:stretch>
      </xdr:blipFill>
      <xdr:spPr>
        <a:xfrm>
          <a:off x="3344231" y="27284363"/>
          <a:ext cx="1300249" cy="387925"/>
        </a:xfrm>
        <a:prstGeom prst="rect">
          <a:avLst/>
        </a:prstGeom>
        <a:noFill/>
        <a:ln cap="flat">
          <a:noFill/>
        </a:ln>
      </xdr:spPr>
    </xdr:pic>
    <xdr:clientData/>
  </xdr:oneCellAnchor>
  <xdr:oneCellAnchor>
    <xdr:from>
      <xdr:col>3</xdr:col>
      <xdr:colOff>22860</xdr:colOff>
      <xdr:row>128</xdr:row>
      <xdr:rowOff>30476</xdr:rowOff>
    </xdr:from>
    <xdr:ext cx="2869972" cy="346365"/>
    <xdr:pic>
      <xdr:nvPicPr>
        <xdr:cNvPr id="13" name="圖片 21">
          <a:extLst>
            <a:ext uri="{FF2B5EF4-FFF2-40B4-BE49-F238E27FC236}">
              <a16:creationId xmlns:a16="http://schemas.microsoft.com/office/drawing/2014/main" id="{00000000-0000-0000-0000-000000000000}"/>
            </a:ext>
          </a:extLst>
        </xdr:cNvPr>
        <xdr:cNvPicPr>
          <a:picLocks noChangeAspect="1"/>
        </xdr:cNvPicPr>
      </xdr:nvPicPr>
      <xdr:blipFill>
        <a:blip xmlns:r="http://schemas.openxmlformats.org/officeDocument/2006/relationships" r:embed="rId12"/>
        <a:srcRect/>
        <a:stretch>
          <a:fillRect/>
        </a:stretch>
      </xdr:blipFill>
      <xdr:spPr>
        <a:xfrm>
          <a:off x="3351848" y="28524514"/>
          <a:ext cx="2869972" cy="346365"/>
        </a:xfrm>
        <a:prstGeom prst="rect">
          <a:avLst/>
        </a:prstGeom>
        <a:noFill/>
        <a:ln cap="flat">
          <a:noFill/>
        </a:ln>
      </xdr:spPr>
    </xdr:pic>
    <xdr:clientData/>
  </xdr:oneCellAnchor>
  <xdr:oneCellAnchor>
    <xdr:from>
      <xdr:col>3</xdr:col>
      <xdr:colOff>22860</xdr:colOff>
      <xdr:row>131</xdr:row>
      <xdr:rowOff>0</xdr:rowOff>
    </xdr:from>
    <xdr:ext cx="1368829" cy="198123"/>
    <xdr:pic>
      <xdr:nvPicPr>
        <xdr:cNvPr id="14" name="圖片 22">
          <a:extLst>
            <a:ext uri="{FF2B5EF4-FFF2-40B4-BE49-F238E27FC236}">
              <a16:creationId xmlns:a16="http://schemas.microsoft.com/office/drawing/2014/main" id="{00000000-0000-0000-0000-000000000000}"/>
            </a:ext>
          </a:extLst>
        </xdr:cNvPr>
        <xdr:cNvPicPr>
          <a:picLocks noChangeAspect="1"/>
        </xdr:cNvPicPr>
      </xdr:nvPicPr>
      <xdr:blipFill>
        <a:blip xmlns:r="http://schemas.openxmlformats.org/officeDocument/2006/relationships" r:embed="rId13"/>
        <a:srcRect/>
        <a:stretch>
          <a:fillRect/>
        </a:stretch>
      </xdr:blipFill>
      <xdr:spPr>
        <a:xfrm>
          <a:off x="3351848" y="29079825"/>
          <a:ext cx="1368829" cy="198123"/>
        </a:xfrm>
        <a:prstGeom prst="rect">
          <a:avLst/>
        </a:prstGeom>
        <a:noFill/>
        <a:ln cap="flat">
          <a:noFill/>
        </a:ln>
      </xdr:spPr>
    </xdr:pic>
    <xdr:clientData/>
  </xdr:oneCellAnchor>
  <xdr:oneCellAnchor>
    <xdr:from>
      <xdr:col>3</xdr:col>
      <xdr:colOff>0</xdr:colOff>
      <xdr:row>133</xdr:row>
      <xdr:rowOff>0</xdr:rowOff>
    </xdr:from>
    <xdr:ext cx="1004450" cy="369225"/>
    <xdr:pic>
      <xdr:nvPicPr>
        <xdr:cNvPr id="15" name="圖片 23">
          <a:extLst>
            <a:ext uri="{FF2B5EF4-FFF2-40B4-BE49-F238E27FC236}">
              <a16:creationId xmlns:a16="http://schemas.microsoft.com/office/drawing/2014/main" id="{00000000-0000-0000-0000-000000000000}"/>
            </a:ext>
          </a:extLst>
        </xdr:cNvPr>
        <xdr:cNvPicPr>
          <a:picLocks noChangeAspect="1"/>
        </xdr:cNvPicPr>
      </xdr:nvPicPr>
      <xdr:blipFill>
        <a:blip xmlns:r="http://schemas.openxmlformats.org/officeDocument/2006/relationships" r:embed="rId14"/>
        <a:srcRect/>
        <a:stretch>
          <a:fillRect/>
        </a:stretch>
      </xdr:blipFill>
      <xdr:spPr>
        <a:xfrm>
          <a:off x="3328988" y="29470350"/>
          <a:ext cx="1004450" cy="369225"/>
        </a:xfrm>
        <a:prstGeom prst="rect">
          <a:avLst/>
        </a:prstGeom>
        <a:noFill/>
        <a:ln cap="flat">
          <a:noFill/>
        </a:ln>
      </xdr:spPr>
    </xdr:pic>
    <xdr:clientData/>
  </xdr:oneCellAnchor>
  <xdr:oneCellAnchor>
    <xdr:from>
      <xdr:col>3</xdr:col>
      <xdr:colOff>30476</xdr:colOff>
      <xdr:row>139</xdr:row>
      <xdr:rowOff>30476</xdr:rowOff>
    </xdr:from>
    <xdr:ext cx="3400598" cy="346365"/>
    <xdr:pic>
      <xdr:nvPicPr>
        <xdr:cNvPr id="16" name="圖片 24">
          <a:extLst>
            <a:ext uri="{FF2B5EF4-FFF2-40B4-BE49-F238E27FC236}">
              <a16:creationId xmlns:a16="http://schemas.microsoft.com/office/drawing/2014/main" id="{00000000-0000-0000-0000-000000000000}"/>
            </a:ext>
          </a:extLst>
        </xdr:cNvPr>
        <xdr:cNvPicPr>
          <a:picLocks noChangeAspect="1"/>
        </xdr:cNvPicPr>
      </xdr:nvPicPr>
      <xdr:blipFill>
        <a:blip xmlns:r="http://schemas.openxmlformats.org/officeDocument/2006/relationships" r:embed="rId15"/>
        <a:srcRect/>
        <a:stretch>
          <a:fillRect/>
        </a:stretch>
      </xdr:blipFill>
      <xdr:spPr>
        <a:xfrm>
          <a:off x="3359464" y="30748601"/>
          <a:ext cx="3400598" cy="346365"/>
        </a:xfrm>
        <a:prstGeom prst="rect">
          <a:avLst/>
        </a:prstGeom>
        <a:noFill/>
        <a:ln cap="flat">
          <a:noFill/>
        </a:ln>
      </xdr:spPr>
    </xdr:pic>
    <xdr:clientData/>
  </xdr:oneCellAnchor>
  <mc:AlternateContent xmlns:mc="http://schemas.openxmlformats.org/markup-compatibility/2006">
    <mc:Choice xmlns:a14="http://schemas.microsoft.com/office/drawing/2010/main" Requires="a14">
      <xdr:twoCellAnchor>
        <xdr:from>
          <xdr:col>2</xdr:col>
          <xdr:colOff>242888</xdr:colOff>
          <xdr:row>29</xdr:row>
          <xdr:rowOff>85725</xdr:rowOff>
        </xdr:from>
        <xdr:to>
          <xdr:col>7</xdr:col>
          <xdr:colOff>638175</xdr:colOff>
          <xdr:row>30</xdr:row>
          <xdr:rowOff>109538</xdr:rowOff>
        </xdr:to>
        <xdr:sp macro="" textlink="">
          <xdr:nvSpPr>
            <xdr:cNvPr id="1025" name="Object 17" hidden="1">
              <a:extLst>
                <a:ext uri="{63B3BB69-23CF-44E3-9099-C40C66FF867C}">
                  <a14:compatExt spid="_x0000_s102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package" Target="../embeddings/Microsoft_Word___.doc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sqref="A1:C1"/>
    </sheetView>
  </sheetViews>
  <sheetFormatPr defaultColWidth="11.9296875" defaultRowHeight="24.75" customHeight="1"/>
  <cols>
    <col min="1" max="1" width="12.265625" style="10" customWidth="1"/>
    <col min="2" max="2" width="58.33203125" style="10" customWidth="1"/>
    <col min="3" max="3" width="135.1328125" style="10" customWidth="1"/>
    <col min="4" max="4" width="11.9296875" style="10" customWidth="1"/>
    <col min="5" max="16384" width="11.9296875" style="10"/>
  </cols>
  <sheetData>
    <row r="1" spans="1:3" s="1" customFormat="1" ht="30" customHeight="1">
      <c r="A1" s="11" t="s">
        <v>0</v>
      </c>
      <c r="B1" s="11"/>
      <c r="C1" s="11"/>
    </row>
    <row r="2" spans="1:3" s="3" customFormat="1" ht="30" customHeight="1">
      <c r="A2" s="2" t="s">
        <v>1</v>
      </c>
      <c r="B2" s="12" t="s">
        <v>2</v>
      </c>
      <c r="C2" s="12"/>
    </row>
    <row r="3" spans="1:3" s="5" customFormat="1" ht="150" customHeight="1">
      <c r="A3" s="4" t="s">
        <v>3</v>
      </c>
      <c r="B3" s="13" t="s">
        <v>4</v>
      </c>
      <c r="C3" s="13"/>
    </row>
    <row r="4" spans="1:3" s="5" customFormat="1" ht="30" customHeight="1">
      <c r="A4" s="2" t="s">
        <v>5</v>
      </c>
      <c r="B4" s="2" t="s">
        <v>6</v>
      </c>
      <c r="C4" s="2" t="s">
        <v>7</v>
      </c>
    </row>
    <row r="5" spans="1:3" s="5" customFormat="1" ht="30" customHeight="1">
      <c r="A5" s="14" t="s">
        <v>8</v>
      </c>
      <c r="B5" s="14"/>
      <c r="C5" s="14"/>
    </row>
    <row r="6" spans="1:3" s="5" customFormat="1" ht="25.05" customHeight="1">
      <c r="A6" s="6"/>
      <c r="B6" s="7" t="s">
        <v>9</v>
      </c>
      <c r="C6" s="8" t="s">
        <v>10</v>
      </c>
    </row>
    <row r="7" spans="1:3" s="5" customFormat="1" ht="25.05" customHeight="1">
      <c r="A7" s="6"/>
      <c r="B7" s="7" t="s">
        <v>11</v>
      </c>
      <c r="C7" s="8" t="s">
        <v>12</v>
      </c>
    </row>
    <row r="8" spans="1:3" s="5" customFormat="1" ht="30" customHeight="1">
      <c r="A8" s="14" t="s">
        <v>13</v>
      </c>
      <c r="B8" s="14"/>
      <c r="C8" s="14"/>
    </row>
    <row r="9" spans="1:3" s="5" customFormat="1" ht="70.05" customHeight="1">
      <c r="A9" s="6"/>
      <c r="B9" s="7" t="s">
        <v>14</v>
      </c>
      <c r="C9" s="9" t="s">
        <v>15</v>
      </c>
    </row>
    <row r="10" spans="1:3" s="5" customFormat="1" ht="40.049999999999997" customHeight="1">
      <c r="A10" s="6"/>
      <c r="B10" s="7" t="s">
        <v>16</v>
      </c>
      <c r="C10" s="9" t="s">
        <v>17</v>
      </c>
    </row>
    <row r="11" spans="1:3" s="5" customFormat="1" ht="70.05" customHeight="1">
      <c r="A11" s="6"/>
      <c r="B11" s="7" t="s">
        <v>18</v>
      </c>
      <c r="C11" s="9" t="s">
        <v>19</v>
      </c>
    </row>
    <row r="12" spans="1:3" s="5" customFormat="1" ht="40.049999999999997" customHeight="1">
      <c r="A12" s="6"/>
      <c r="B12" s="7" t="s">
        <v>20</v>
      </c>
      <c r="C12" s="9" t="s">
        <v>21</v>
      </c>
    </row>
    <row r="13" spans="1:3" s="5" customFormat="1" ht="40.049999999999997" customHeight="1">
      <c r="A13" s="6"/>
      <c r="B13" s="7" t="s">
        <v>22</v>
      </c>
      <c r="C13" s="9" t="s">
        <v>23</v>
      </c>
    </row>
    <row r="14" spans="1:3" s="5" customFormat="1" ht="30" customHeight="1">
      <c r="A14" s="15" t="s">
        <v>24</v>
      </c>
      <c r="B14" s="15"/>
      <c r="C14" s="15"/>
    </row>
    <row r="15" spans="1:3" s="5" customFormat="1" ht="30" customHeight="1">
      <c r="A15" s="6"/>
      <c r="B15" s="8" t="s">
        <v>25</v>
      </c>
      <c r="C15" s="9" t="s">
        <v>26</v>
      </c>
    </row>
    <row r="16" spans="1:3" s="5" customFormat="1" ht="30" customHeight="1">
      <c r="A16" s="6"/>
      <c r="B16" s="8" t="s">
        <v>27</v>
      </c>
      <c r="C16" s="9" t="s">
        <v>26</v>
      </c>
    </row>
    <row r="17" spans="1:3" s="5" customFormat="1" ht="40.049999999999997" customHeight="1">
      <c r="A17" s="6"/>
      <c r="B17" s="8" t="s">
        <v>28</v>
      </c>
      <c r="C17" s="9" t="s">
        <v>29</v>
      </c>
    </row>
    <row r="18" spans="1:3" s="5" customFormat="1" ht="30" customHeight="1">
      <c r="A18" s="6"/>
      <c r="B18" s="8" t="s">
        <v>30</v>
      </c>
      <c r="C18" s="9" t="s">
        <v>31</v>
      </c>
    </row>
    <row r="19" spans="1:3" s="5" customFormat="1" ht="40.049999999999997" customHeight="1">
      <c r="A19" s="15" t="s">
        <v>32</v>
      </c>
      <c r="B19" s="15"/>
      <c r="C19" s="9" t="s">
        <v>33</v>
      </c>
    </row>
  </sheetData>
  <mergeCells count="7">
    <mergeCell ref="A19:B19"/>
    <mergeCell ref="A1:C1"/>
    <mergeCell ref="B2:C2"/>
    <mergeCell ref="B3:C3"/>
    <mergeCell ref="A5:C5"/>
    <mergeCell ref="A8:C8"/>
    <mergeCell ref="A14:C14"/>
  </mergeCells>
  <phoneticPr fontId="9" type="noConversion"/>
  <hyperlinks>
    <hyperlink ref="B6" location="附表一_固定燃排放源排放係數!A1" display="一、固定燃燒排放源排放係數"/>
    <hyperlink ref="B7" location="附表一_移動燃燒排放源排放係數!A1" display="二、移動燃燒排放源排放係數"/>
    <hyperlink ref="B9" location="附表二_非金屬礦物製品製造!A1" display="一、非金屬礦物製品製造"/>
    <hyperlink ref="B10" location="附表二_化學製品製造!A1" display="二、化學製品製造"/>
    <hyperlink ref="B11" location="附表二_金屬製品製造!A1" display="三、金屬製品製造"/>
    <hyperlink ref="B12" location="附表二_非能源產品使用或生產!A1" display="四、非能源產品使用或生產"/>
    <hyperlink ref="B13" location="附表二_電子製品製造!A1" display="五、電子製品製造"/>
    <hyperlink ref="A14" location="附表三!A1" display="附表三、逸散排放之係數"/>
    <hyperlink ref="A19" location="附表四!A1" display="附表四、溫暖化潛勢（Global Warming Potential, GWP）"/>
  </hyperlinks>
  <pageMargins left="0.25" right="0.25" top="0.75" bottom="1.1000000000000001" header="0.30000000000000004" footer="0.30000000000000004"/>
  <pageSetup paperSize="0" fitToWidth="0" fitToHeight="0" orientation="landscape"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5"/>
  <sheetViews>
    <sheetView workbookViewId="0">
      <pane xSplit="4" ySplit="8" topLeftCell="O9" activePane="bottomRight" state="frozen"/>
      <selection pane="topRight" activeCell="E1" sqref="E1"/>
      <selection pane="bottomLeft" activeCell="A9" sqref="A9"/>
      <selection pane="bottomRight" activeCell="P6" sqref="P6:P8"/>
    </sheetView>
  </sheetViews>
  <sheetFormatPr defaultColWidth="11.9296875" defaultRowHeight="15.4"/>
  <cols>
    <col min="1" max="1" width="8.3984375" style="10" customWidth="1"/>
    <col min="2" max="2" width="18" style="10" customWidth="1"/>
    <col min="3" max="3" width="8.3984375" style="10" customWidth="1"/>
    <col min="4" max="4" width="18" style="10" customWidth="1"/>
    <col min="5" max="7" width="12.265625" style="10" customWidth="1"/>
    <col min="8" max="10" width="15.9296875" style="130" bestFit="1" customWidth="1"/>
    <col min="11" max="12" width="24.73046875" style="10" customWidth="1"/>
    <col min="13" max="13" width="15.3984375" style="10" bestFit="1" customWidth="1"/>
    <col min="14" max="14" width="15.3984375" style="43" bestFit="1" customWidth="1"/>
    <col min="15" max="15" width="16.3984375" style="10" customWidth="1"/>
    <col min="16" max="19" width="11.9296875" style="10" customWidth="1"/>
    <col min="20" max="16384" width="11.9296875" style="10"/>
  </cols>
  <sheetData>
    <row r="1" spans="1:29" s="5" customFormat="1">
      <c r="A1" s="16"/>
      <c r="B1" s="17" t="s">
        <v>34</v>
      </c>
      <c r="C1" s="18"/>
      <c r="D1" s="10"/>
      <c r="E1" s="10"/>
      <c r="F1" s="18"/>
      <c r="G1" s="18"/>
      <c r="H1" s="121"/>
      <c r="I1" s="121"/>
      <c r="J1" s="121"/>
      <c r="K1" s="18"/>
      <c r="L1" s="18"/>
      <c r="M1" s="18"/>
      <c r="N1" s="19"/>
      <c r="O1" s="19"/>
      <c r="P1" s="10"/>
      <c r="Q1" s="10"/>
      <c r="R1" s="10"/>
      <c r="S1" s="10"/>
      <c r="T1" s="10"/>
      <c r="U1" s="10"/>
      <c r="V1" s="10"/>
      <c r="W1" s="10"/>
      <c r="X1" s="10"/>
      <c r="Y1" s="10"/>
      <c r="Z1" s="10"/>
      <c r="AA1" s="10"/>
      <c r="AB1" s="10"/>
      <c r="AC1" s="10"/>
    </row>
    <row r="2" spans="1:29" s="5" customFormat="1">
      <c r="A2" s="20"/>
      <c r="B2" s="17" t="s">
        <v>35</v>
      </c>
      <c r="C2" s="18"/>
      <c r="E2" s="10"/>
      <c r="F2" s="18"/>
      <c r="G2" s="18"/>
      <c r="H2" s="121"/>
      <c r="I2" s="121"/>
      <c r="J2" s="121"/>
      <c r="K2" s="18"/>
      <c r="L2" s="18"/>
      <c r="M2" s="18"/>
      <c r="N2" s="19"/>
      <c r="O2" s="19"/>
      <c r="P2" s="10"/>
      <c r="Q2" s="10"/>
      <c r="R2" s="10"/>
      <c r="S2" s="10"/>
      <c r="T2" s="10"/>
      <c r="U2" s="10"/>
      <c r="V2" s="10"/>
      <c r="W2" s="10"/>
      <c r="X2" s="10"/>
      <c r="Y2" s="10"/>
      <c r="Z2" s="10"/>
      <c r="AA2" s="10"/>
      <c r="AB2" s="10"/>
      <c r="AC2" s="10"/>
    </row>
    <row r="3" spans="1:29" s="5" customFormat="1">
      <c r="A3" s="21"/>
      <c r="B3" s="10" t="s">
        <v>36</v>
      </c>
      <c r="C3" s="18"/>
      <c r="D3" s="10"/>
      <c r="E3" s="10"/>
      <c r="F3" s="18"/>
      <c r="G3" s="18"/>
      <c r="H3" s="121"/>
      <c r="I3" s="121"/>
      <c r="J3" s="121"/>
      <c r="K3" s="18"/>
      <c r="L3" s="18"/>
      <c r="M3" s="18"/>
      <c r="N3" s="19"/>
      <c r="O3" s="19"/>
      <c r="P3" s="10"/>
      <c r="Q3" s="10"/>
      <c r="R3" s="10"/>
      <c r="S3" s="10"/>
      <c r="T3" s="10"/>
      <c r="U3" s="10"/>
      <c r="V3" s="10"/>
      <c r="W3" s="10"/>
      <c r="X3" s="10"/>
      <c r="Y3" s="10"/>
      <c r="Z3" s="10"/>
      <c r="AA3" s="10"/>
      <c r="AB3" s="10"/>
      <c r="AC3" s="10"/>
    </row>
    <row r="4" spans="1:29" s="5" customFormat="1">
      <c r="A4" s="22"/>
      <c r="B4" s="17" t="s">
        <v>37</v>
      </c>
      <c r="C4" s="18"/>
      <c r="D4" s="10"/>
      <c r="E4" s="10"/>
      <c r="F4" s="18"/>
      <c r="G4" s="18"/>
      <c r="H4" s="121"/>
      <c r="I4" s="121"/>
      <c r="J4" s="121"/>
      <c r="K4" s="18"/>
      <c r="L4" s="18"/>
      <c r="M4" s="18"/>
      <c r="N4" s="19"/>
      <c r="O4" s="19"/>
      <c r="P4" s="10"/>
      <c r="Q4" s="10"/>
      <c r="R4" s="10"/>
      <c r="S4" s="10"/>
      <c r="T4" s="10"/>
      <c r="U4" s="10"/>
      <c r="V4" s="10"/>
      <c r="W4" s="10"/>
      <c r="X4" s="10"/>
      <c r="Y4" s="10"/>
      <c r="Z4" s="10"/>
      <c r="AA4" s="10"/>
      <c r="AB4" s="10"/>
      <c r="AC4" s="10"/>
    </row>
    <row r="5" spans="1:29" s="5" customFormat="1">
      <c r="A5" s="23" t="s">
        <v>9</v>
      </c>
      <c r="B5" s="17"/>
      <c r="C5" s="18"/>
      <c r="D5" s="10"/>
      <c r="E5" s="10"/>
      <c r="F5" s="18"/>
      <c r="G5" s="18"/>
      <c r="H5" s="121"/>
      <c r="I5" s="121"/>
      <c r="J5" s="121"/>
      <c r="K5" s="18"/>
      <c r="L5" s="18"/>
      <c r="M5" s="18"/>
      <c r="N5" s="19"/>
      <c r="O5" s="19"/>
      <c r="P5" s="10"/>
      <c r="Q5" s="10"/>
      <c r="R5" s="10"/>
      <c r="S5" s="10"/>
      <c r="T5" s="10"/>
      <c r="U5" s="10"/>
      <c r="V5" s="10"/>
      <c r="W5" s="10"/>
      <c r="X5" s="10"/>
      <c r="Y5" s="10"/>
      <c r="Z5" s="10"/>
      <c r="AA5" s="10"/>
      <c r="AB5" s="10"/>
      <c r="AC5" s="10"/>
    </row>
    <row r="6" spans="1:29" customFormat="1" ht="34.9" customHeight="1">
      <c r="A6" s="44" t="s">
        <v>38</v>
      </c>
      <c r="B6" s="44"/>
      <c r="C6" s="44" t="s">
        <v>39</v>
      </c>
      <c r="D6" s="44"/>
      <c r="E6" s="44" t="s">
        <v>40</v>
      </c>
      <c r="F6" s="44"/>
      <c r="G6" s="44"/>
      <c r="H6" s="122" t="s">
        <v>41</v>
      </c>
      <c r="I6" s="122"/>
      <c r="J6" s="122"/>
      <c r="K6" s="46" t="s">
        <v>42</v>
      </c>
      <c r="L6" s="46"/>
      <c r="M6" s="47" t="s">
        <v>43</v>
      </c>
      <c r="N6" s="47"/>
      <c r="O6" s="132"/>
      <c r="P6" s="135" t="s">
        <v>1025</v>
      </c>
      <c r="Q6" s="136" t="s">
        <v>1029</v>
      </c>
      <c r="R6" s="136" t="s">
        <v>1030</v>
      </c>
      <c r="S6" s="136" t="s">
        <v>1031</v>
      </c>
      <c r="T6" s="139" t="s">
        <v>43</v>
      </c>
      <c r="U6" s="139"/>
      <c r="V6" s="139"/>
      <c r="W6" s="140" t="s">
        <v>1028</v>
      </c>
      <c r="X6" s="10"/>
      <c r="Y6" s="10"/>
      <c r="Z6" s="10"/>
      <c r="AA6" s="10"/>
      <c r="AB6" s="10"/>
      <c r="AC6" s="10"/>
    </row>
    <row r="7" spans="1:29" customFormat="1" ht="18.399999999999999">
      <c r="A7" s="44"/>
      <c r="B7" s="44"/>
      <c r="C7" s="44"/>
      <c r="D7" s="44"/>
      <c r="E7" s="44" t="s">
        <v>44</v>
      </c>
      <c r="F7" s="44"/>
      <c r="G7" s="44"/>
      <c r="H7" s="122" t="s">
        <v>45</v>
      </c>
      <c r="I7" s="122"/>
      <c r="J7" s="122"/>
      <c r="K7" s="46"/>
      <c r="L7" s="46"/>
      <c r="M7" s="26" t="s">
        <v>46</v>
      </c>
      <c r="N7" s="26" t="s">
        <v>47</v>
      </c>
      <c r="O7" s="133" t="s">
        <v>48</v>
      </c>
      <c r="P7" s="135"/>
      <c r="Q7" s="135"/>
      <c r="R7" s="135"/>
      <c r="S7" s="136"/>
      <c r="T7" s="141" t="s">
        <v>46</v>
      </c>
      <c r="U7" s="141" t="s">
        <v>47</v>
      </c>
      <c r="V7" s="141" t="s">
        <v>48</v>
      </c>
      <c r="W7" s="142"/>
      <c r="X7" s="10"/>
      <c r="Y7" s="10"/>
      <c r="Z7" s="10"/>
      <c r="AA7" s="10"/>
      <c r="AB7" s="10"/>
      <c r="AC7" s="10"/>
    </row>
    <row r="8" spans="1:29" customFormat="1" ht="18.399999999999999">
      <c r="A8" s="44"/>
      <c r="B8" s="44"/>
      <c r="C8" s="44"/>
      <c r="D8" s="44"/>
      <c r="E8" s="24" t="s">
        <v>49</v>
      </c>
      <c r="F8" s="24" t="s">
        <v>50</v>
      </c>
      <c r="G8" s="24" t="s">
        <v>51</v>
      </c>
      <c r="H8" s="123" t="s">
        <v>49</v>
      </c>
      <c r="I8" s="123" t="s">
        <v>50</v>
      </c>
      <c r="J8" s="123" t="s">
        <v>51</v>
      </c>
      <c r="K8" s="28" t="s">
        <v>52</v>
      </c>
      <c r="L8" s="25" t="s">
        <v>53</v>
      </c>
      <c r="M8" s="29" t="s">
        <v>1026</v>
      </c>
      <c r="N8" s="29" t="s">
        <v>1027</v>
      </c>
      <c r="O8" s="134" t="s">
        <v>51</v>
      </c>
      <c r="P8" s="135"/>
      <c r="Q8" s="135"/>
      <c r="R8" s="135"/>
      <c r="S8" s="136"/>
      <c r="T8" s="143" t="s">
        <v>1026</v>
      </c>
      <c r="U8" s="143" t="s">
        <v>1027</v>
      </c>
      <c r="V8" s="143" t="s">
        <v>51</v>
      </c>
      <c r="W8" s="142"/>
      <c r="X8" s="10"/>
      <c r="Y8" s="10"/>
      <c r="Z8" s="10"/>
      <c r="AA8" s="10"/>
      <c r="AB8" s="10"/>
      <c r="AC8" s="10"/>
    </row>
    <row r="9" spans="1:29" customFormat="1" ht="16.149999999999999">
      <c r="A9" s="48" t="s">
        <v>54</v>
      </c>
      <c r="B9" s="48"/>
      <c r="C9" s="48" t="s">
        <v>55</v>
      </c>
      <c r="D9" s="48"/>
      <c r="E9" s="31">
        <v>73300</v>
      </c>
      <c r="F9" s="32">
        <v>3</v>
      </c>
      <c r="G9" s="32">
        <v>0.6</v>
      </c>
      <c r="H9" s="124">
        <f t="shared" ref="H9:H40" si="0">E9*(4186.8*10^(-9)*10^(-3))</f>
        <v>3.0689244000000005E-4</v>
      </c>
      <c r="I9" s="124">
        <f t="shared" ref="I9:I40" si="1">F9*(4186.8*10^(-9)*10^(-3))</f>
        <v>1.2560400000000001E-8</v>
      </c>
      <c r="J9" s="125">
        <f t="shared" ref="J9:J40" si="2">G9*(4186.8*10^(-9)*10^(-3))</f>
        <v>2.5120800000000003E-9</v>
      </c>
      <c r="K9" s="33"/>
      <c r="L9" s="34"/>
      <c r="M9" s="35" t="str">
        <f t="shared" ref="M9:M40" si="3">IF($K9="","",IF($K9="公斤/兆焦耳(kg/TJ)",E9*$L9,H9*$L9))</f>
        <v/>
      </c>
      <c r="N9" s="35" t="str">
        <f t="shared" ref="N9:N40" si="4">IF($K9="","",IF($K9="公斤/兆焦耳(kg/TJ)",F9*$L9,I9*$L9))</f>
        <v/>
      </c>
      <c r="O9" s="137" t="str">
        <f t="shared" ref="O9:O40" si="5">IF($K9="","",IF($K9="公斤/兆焦耳(kg/TJ)",G9*$L9,J9*$L9))</f>
        <v/>
      </c>
      <c r="P9" s="144"/>
      <c r="Q9" s="144"/>
      <c r="R9" s="144"/>
      <c r="S9" s="144"/>
      <c r="T9" s="145"/>
      <c r="U9" s="145"/>
      <c r="V9" s="145"/>
      <c r="W9" s="145"/>
      <c r="X9" s="10"/>
      <c r="Y9" s="10"/>
      <c r="Z9" s="10"/>
      <c r="AA9" s="10"/>
      <c r="AB9" s="10"/>
      <c r="AC9" s="10"/>
    </row>
    <row r="10" spans="1:29" customFormat="1" ht="16.149999999999999">
      <c r="A10" s="48" t="s">
        <v>56</v>
      </c>
      <c r="B10" s="48"/>
      <c r="C10" s="48" t="s">
        <v>57</v>
      </c>
      <c r="D10" s="48"/>
      <c r="E10" s="36">
        <v>77000</v>
      </c>
      <c r="F10" s="37">
        <v>3</v>
      </c>
      <c r="G10" s="37">
        <v>0.6</v>
      </c>
      <c r="H10" s="126">
        <f t="shared" si="0"/>
        <v>3.2238360000000002E-4</v>
      </c>
      <c r="I10" s="126">
        <f t="shared" si="1"/>
        <v>1.2560400000000001E-8</v>
      </c>
      <c r="J10" s="127">
        <f t="shared" si="2"/>
        <v>2.5120800000000003E-9</v>
      </c>
      <c r="K10" s="33"/>
      <c r="L10" s="34"/>
      <c r="M10" s="35" t="str">
        <f t="shared" si="3"/>
        <v/>
      </c>
      <c r="N10" s="35" t="str">
        <f t="shared" si="4"/>
        <v/>
      </c>
      <c r="O10" s="137" t="str">
        <f t="shared" si="5"/>
        <v/>
      </c>
      <c r="P10" s="144"/>
      <c r="Q10" s="144"/>
      <c r="R10" s="144"/>
      <c r="S10" s="144"/>
      <c r="T10" s="145"/>
      <c r="U10" s="145"/>
      <c r="V10" s="145"/>
      <c r="W10" s="145"/>
      <c r="X10" s="10"/>
      <c r="Y10" s="10"/>
      <c r="Z10" s="10"/>
      <c r="AA10" s="10"/>
      <c r="AB10" s="10"/>
      <c r="AC10" s="10"/>
    </row>
    <row r="11" spans="1:29" customFormat="1" ht="16.149999999999999">
      <c r="A11" s="48" t="s">
        <v>58</v>
      </c>
      <c r="B11" s="48"/>
      <c r="C11" s="48" t="s">
        <v>59</v>
      </c>
      <c r="D11" s="48"/>
      <c r="E11" s="36">
        <v>64200</v>
      </c>
      <c r="F11" s="37">
        <v>3</v>
      </c>
      <c r="G11" s="37">
        <v>0.6</v>
      </c>
      <c r="H11" s="126">
        <f t="shared" si="0"/>
        <v>2.6879256000000005E-4</v>
      </c>
      <c r="I11" s="126">
        <f t="shared" si="1"/>
        <v>1.2560400000000001E-8</v>
      </c>
      <c r="J11" s="127">
        <f t="shared" si="2"/>
        <v>2.5120800000000003E-9</v>
      </c>
      <c r="K11" s="33"/>
      <c r="L11" s="34"/>
      <c r="M11" s="35" t="str">
        <f t="shared" si="3"/>
        <v/>
      </c>
      <c r="N11" s="35" t="str">
        <f t="shared" si="4"/>
        <v/>
      </c>
      <c r="O11" s="137" t="str">
        <f t="shared" si="5"/>
        <v/>
      </c>
      <c r="P11" s="144"/>
      <c r="Q11" s="144"/>
      <c r="R11" s="144"/>
      <c r="S11" s="144"/>
      <c r="T11" s="145"/>
      <c r="U11" s="145"/>
      <c r="V11" s="145"/>
      <c r="W11" s="145"/>
      <c r="X11" s="10"/>
      <c r="Y11" s="10"/>
      <c r="Z11" s="10"/>
      <c r="AA11" s="10"/>
      <c r="AB11" s="10"/>
      <c r="AC11" s="10"/>
    </row>
    <row r="12" spans="1:29" s="120" customFormat="1" ht="16.149999999999999">
      <c r="A12" s="49" t="s">
        <v>60</v>
      </c>
      <c r="B12" s="150" t="s">
        <v>61</v>
      </c>
      <c r="C12" s="50" t="s">
        <v>62</v>
      </c>
      <c r="D12" s="150" t="s">
        <v>63</v>
      </c>
      <c r="E12" s="116">
        <v>69300</v>
      </c>
      <c r="F12" s="117">
        <v>3</v>
      </c>
      <c r="G12" s="117">
        <v>0.6</v>
      </c>
      <c r="H12" s="128">
        <f t="shared" si="0"/>
        <v>2.9014524000000002E-4</v>
      </c>
      <c r="I12" s="128">
        <f t="shared" si="1"/>
        <v>1.2560400000000001E-8</v>
      </c>
      <c r="J12" s="129">
        <f t="shared" si="2"/>
        <v>2.5120800000000003E-9</v>
      </c>
      <c r="K12" s="118" t="s">
        <v>1022</v>
      </c>
      <c r="L12" s="119">
        <v>7609</v>
      </c>
      <c r="M12" s="131">
        <f t="shared" si="3"/>
        <v>2.2077151311600001</v>
      </c>
      <c r="N12" s="131">
        <f t="shared" si="4"/>
        <v>9.5572083600000009E-5</v>
      </c>
      <c r="O12" s="131">
        <f t="shared" si="5"/>
        <v>1.9114416720000003E-5</v>
      </c>
      <c r="P12" s="144">
        <v>500</v>
      </c>
      <c r="Q12" s="144">
        <v>1</v>
      </c>
      <c r="R12" s="144">
        <v>30</v>
      </c>
      <c r="S12" s="144">
        <v>265</v>
      </c>
      <c r="T12" s="147">
        <f>M12*P12*Q12</f>
        <v>1103.85756558</v>
      </c>
      <c r="U12" s="147">
        <f>N12*P12*R12</f>
        <v>1.4335812540000001</v>
      </c>
      <c r="V12" s="147">
        <f>P12*O12*S12</f>
        <v>2.5326602154000004</v>
      </c>
      <c r="W12" s="147">
        <f>SUM(T12:V12)</f>
        <v>1107.8238070494001</v>
      </c>
      <c r="X12" s="151"/>
      <c r="Y12" s="151"/>
      <c r="Z12" s="151"/>
      <c r="AA12" s="151"/>
      <c r="AB12" s="151"/>
      <c r="AC12" s="151"/>
    </row>
    <row r="13" spans="1:29" customFormat="1" ht="16.149999999999999">
      <c r="A13" s="49"/>
      <c r="B13" s="39" t="s">
        <v>64</v>
      </c>
      <c r="C13" s="50"/>
      <c r="D13" s="39" t="s">
        <v>65</v>
      </c>
      <c r="E13" s="36">
        <v>70000</v>
      </c>
      <c r="F13" s="37">
        <v>3</v>
      </c>
      <c r="G13" s="37">
        <v>0.6</v>
      </c>
      <c r="H13" s="126">
        <f t="shared" si="0"/>
        <v>2.9307600000000002E-4</v>
      </c>
      <c r="I13" s="126">
        <f t="shared" si="1"/>
        <v>1.2560400000000001E-8</v>
      </c>
      <c r="J13" s="127">
        <f t="shared" si="2"/>
        <v>2.5120800000000003E-9</v>
      </c>
      <c r="K13" s="33"/>
      <c r="L13" s="34"/>
      <c r="M13" s="35" t="str">
        <f t="shared" si="3"/>
        <v/>
      </c>
      <c r="N13" s="35" t="str">
        <f t="shared" si="4"/>
        <v/>
      </c>
      <c r="O13" s="137" t="str">
        <f t="shared" si="5"/>
        <v/>
      </c>
      <c r="P13" s="144"/>
      <c r="Q13" s="144"/>
      <c r="R13" s="144"/>
      <c r="S13" s="144"/>
      <c r="T13" s="145"/>
      <c r="U13" s="145"/>
      <c r="V13" s="145"/>
      <c r="W13" s="145"/>
      <c r="X13" s="10"/>
      <c r="Y13" s="10"/>
      <c r="Z13" s="10"/>
      <c r="AA13" s="10"/>
      <c r="AB13" s="10"/>
      <c r="AC13" s="10"/>
    </row>
    <row r="14" spans="1:29" customFormat="1" ht="16.149999999999999">
      <c r="A14" s="49"/>
      <c r="B14" s="39" t="s">
        <v>66</v>
      </c>
      <c r="C14" s="50"/>
      <c r="D14" s="39" t="s">
        <v>67</v>
      </c>
      <c r="E14" s="36">
        <v>70000</v>
      </c>
      <c r="F14" s="37">
        <v>3</v>
      </c>
      <c r="G14" s="37">
        <v>0.6</v>
      </c>
      <c r="H14" s="126">
        <f t="shared" si="0"/>
        <v>2.9307600000000002E-4</v>
      </c>
      <c r="I14" s="126">
        <f t="shared" si="1"/>
        <v>1.2560400000000001E-8</v>
      </c>
      <c r="J14" s="127">
        <f t="shared" si="2"/>
        <v>2.5120800000000003E-9</v>
      </c>
      <c r="K14" s="33"/>
      <c r="L14" s="34"/>
      <c r="M14" s="35" t="str">
        <f t="shared" si="3"/>
        <v/>
      </c>
      <c r="N14" s="35" t="str">
        <f t="shared" si="4"/>
        <v/>
      </c>
      <c r="O14" s="137" t="str">
        <f t="shared" si="5"/>
        <v/>
      </c>
      <c r="P14" s="144"/>
      <c r="Q14" s="144"/>
      <c r="R14" s="144"/>
      <c r="S14" s="144"/>
      <c r="T14" s="145"/>
      <c r="U14" s="145"/>
      <c r="V14" s="145"/>
      <c r="W14" s="145"/>
      <c r="X14" s="10"/>
      <c r="Y14" s="10"/>
      <c r="Z14" s="10"/>
      <c r="AA14" s="10"/>
      <c r="AB14" s="10"/>
      <c r="AC14" s="10"/>
    </row>
    <row r="15" spans="1:29" customFormat="1" ht="16.149999999999999">
      <c r="A15" s="48" t="s">
        <v>68</v>
      </c>
      <c r="B15" s="48"/>
      <c r="C15" s="48" t="s">
        <v>69</v>
      </c>
      <c r="D15" s="48"/>
      <c r="E15" s="36">
        <v>71500</v>
      </c>
      <c r="F15" s="37">
        <v>3</v>
      </c>
      <c r="G15" s="37">
        <v>0.6</v>
      </c>
      <c r="H15" s="126">
        <f t="shared" si="0"/>
        <v>2.9935620000000004E-4</v>
      </c>
      <c r="I15" s="126">
        <f t="shared" si="1"/>
        <v>1.2560400000000001E-8</v>
      </c>
      <c r="J15" s="127">
        <f t="shared" si="2"/>
        <v>2.5120800000000003E-9</v>
      </c>
      <c r="K15" s="33"/>
      <c r="L15" s="34"/>
      <c r="M15" s="35" t="str">
        <f t="shared" si="3"/>
        <v/>
      </c>
      <c r="N15" s="35" t="str">
        <f t="shared" si="4"/>
        <v/>
      </c>
      <c r="O15" s="137" t="str">
        <f t="shared" si="5"/>
        <v/>
      </c>
      <c r="P15" s="144"/>
      <c r="Q15" s="144"/>
      <c r="R15" s="144"/>
      <c r="S15" s="144"/>
      <c r="T15" s="145"/>
      <c r="U15" s="145"/>
      <c r="V15" s="145"/>
      <c r="W15" s="145"/>
      <c r="X15" s="10"/>
      <c r="Y15" s="10"/>
      <c r="Z15" s="10"/>
      <c r="AA15" s="10"/>
      <c r="AB15" s="10"/>
      <c r="AC15" s="10"/>
    </row>
    <row r="16" spans="1:29" customFormat="1" ht="16.149999999999999">
      <c r="A16" s="48" t="s">
        <v>70</v>
      </c>
      <c r="B16" s="48"/>
      <c r="C16" s="48" t="s">
        <v>71</v>
      </c>
      <c r="D16" s="48"/>
      <c r="E16" s="36">
        <v>71900</v>
      </c>
      <c r="F16" s="37">
        <v>3</v>
      </c>
      <c r="G16" s="37">
        <v>0.6</v>
      </c>
      <c r="H16" s="126">
        <f t="shared" si="0"/>
        <v>3.0103092000000005E-4</v>
      </c>
      <c r="I16" s="126">
        <f t="shared" si="1"/>
        <v>1.2560400000000001E-8</v>
      </c>
      <c r="J16" s="127">
        <f t="shared" si="2"/>
        <v>2.5120800000000003E-9</v>
      </c>
      <c r="K16" s="33"/>
      <c r="L16" s="34"/>
      <c r="M16" s="35" t="str">
        <f t="shared" si="3"/>
        <v/>
      </c>
      <c r="N16" s="35" t="str">
        <f t="shared" si="4"/>
        <v/>
      </c>
      <c r="O16" s="137" t="str">
        <f t="shared" si="5"/>
        <v/>
      </c>
      <c r="P16" s="144"/>
      <c r="Q16" s="144"/>
      <c r="R16" s="144"/>
      <c r="S16" s="144"/>
      <c r="T16" s="145"/>
      <c r="U16" s="145"/>
      <c r="V16" s="145"/>
      <c r="W16" s="145"/>
      <c r="X16" s="10"/>
      <c r="Y16" s="10"/>
      <c r="Z16" s="10"/>
      <c r="AA16" s="10"/>
      <c r="AB16" s="10"/>
      <c r="AC16" s="10"/>
    </row>
    <row r="17" spans="1:29" customFormat="1" ht="16.149999999999999">
      <c r="A17" s="48" t="s">
        <v>72</v>
      </c>
      <c r="B17" s="48"/>
      <c r="C17" s="48" t="s">
        <v>73</v>
      </c>
      <c r="D17" s="48"/>
      <c r="E17" s="36">
        <v>73300</v>
      </c>
      <c r="F17" s="37">
        <v>3</v>
      </c>
      <c r="G17" s="37">
        <v>0.6</v>
      </c>
      <c r="H17" s="126">
        <f t="shared" si="0"/>
        <v>3.0689244000000005E-4</v>
      </c>
      <c r="I17" s="126">
        <f t="shared" si="1"/>
        <v>1.2560400000000001E-8</v>
      </c>
      <c r="J17" s="127">
        <f t="shared" si="2"/>
        <v>2.5120800000000003E-9</v>
      </c>
      <c r="K17" s="33"/>
      <c r="L17" s="34"/>
      <c r="M17" s="35" t="str">
        <f t="shared" si="3"/>
        <v/>
      </c>
      <c r="N17" s="35" t="str">
        <f t="shared" si="4"/>
        <v/>
      </c>
      <c r="O17" s="137" t="str">
        <f t="shared" si="5"/>
        <v/>
      </c>
      <c r="P17" s="144"/>
      <c r="Q17" s="144"/>
      <c r="R17" s="144"/>
      <c r="S17" s="144"/>
      <c r="T17" s="145"/>
      <c r="U17" s="145"/>
      <c r="V17" s="145"/>
      <c r="W17" s="145"/>
      <c r="X17" s="10"/>
      <c r="Y17" s="10"/>
      <c r="Z17" s="10"/>
      <c r="AA17" s="10"/>
      <c r="AB17" s="10"/>
      <c r="AC17" s="10"/>
    </row>
    <row r="18" spans="1:29" s="120" customFormat="1" ht="16.149999999999999">
      <c r="A18" s="115" t="s">
        <v>74</v>
      </c>
      <c r="B18" s="115"/>
      <c r="C18" s="115" t="s">
        <v>75</v>
      </c>
      <c r="D18" s="115"/>
      <c r="E18" s="116">
        <v>74100</v>
      </c>
      <c r="F18" s="117">
        <v>3</v>
      </c>
      <c r="G18" s="117">
        <v>0.6</v>
      </c>
      <c r="H18" s="128">
        <f t="shared" si="0"/>
        <v>3.1024188000000006E-4</v>
      </c>
      <c r="I18" s="128">
        <f t="shared" si="1"/>
        <v>1.2560400000000001E-8</v>
      </c>
      <c r="J18" s="129">
        <f t="shared" si="2"/>
        <v>2.5120800000000003E-9</v>
      </c>
      <c r="K18" s="118" t="s">
        <v>1023</v>
      </c>
      <c r="L18" s="119">
        <v>8400</v>
      </c>
      <c r="M18" s="131">
        <f t="shared" si="3"/>
        <v>2.6060317920000005</v>
      </c>
      <c r="N18" s="131">
        <f t="shared" si="4"/>
        <v>1.0550736000000002E-4</v>
      </c>
      <c r="O18" s="138">
        <f t="shared" si="5"/>
        <v>2.1101472000000001E-5</v>
      </c>
      <c r="P18" s="146">
        <v>17.495000000000001</v>
      </c>
      <c r="Q18" s="146">
        <v>1</v>
      </c>
      <c r="R18" s="146">
        <v>30</v>
      </c>
      <c r="S18" s="146">
        <v>265</v>
      </c>
      <c r="T18" s="147">
        <f>M18*P18*Q18</f>
        <v>45.592526201040009</v>
      </c>
      <c r="U18" s="147">
        <f>N18*P18*R18</f>
        <v>5.5375537896000013E-2</v>
      </c>
      <c r="V18" s="147">
        <f>P18*O18*S18</f>
        <v>9.7830116949600018E-2</v>
      </c>
      <c r="W18" s="147">
        <f>SUM(T18:V18)</f>
        <v>45.745731855885609</v>
      </c>
    </row>
    <row r="19" spans="1:29" customFormat="1" ht="16.149999999999999">
      <c r="A19" s="48" t="s">
        <v>76</v>
      </c>
      <c r="B19" s="48"/>
      <c r="C19" s="48" t="s">
        <v>77</v>
      </c>
      <c r="D19" s="48"/>
      <c r="E19" s="36">
        <v>77400</v>
      </c>
      <c r="F19" s="37">
        <v>3</v>
      </c>
      <c r="G19" s="37">
        <v>0.6</v>
      </c>
      <c r="H19" s="126">
        <f t="shared" si="0"/>
        <v>3.2405832000000003E-4</v>
      </c>
      <c r="I19" s="126">
        <f t="shared" si="1"/>
        <v>1.2560400000000001E-8</v>
      </c>
      <c r="J19" s="127">
        <f t="shared" si="2"/>
        <v>2.5120800000000003E-9</v>
      </c>
      <c r="K19" s="33"/>
      <c r="L19" s="34"/>
      <c r="M19" s="35" t="str">
        <f t="shared" si="3"/>
        <v/>
      </c>
      <c r="N19" s="35" t="str">
        <f t="shared" si="4"/>
        <v/>
      </c>
      <c r="O19" s="137" t="str">
        <f t="shared" si="5"/>
        <v/>
      </c>
      <c r="P19" s="146"/>
      <c r="Q19" s="146"/>
      <c r="R19" s="146"/>
      <c r="S19" s="146"/>
      <c r="T19" s="148"/>
      <c r="U19" s="148"/>
      <c r="V19" s="148"/>
      <c r="W19" s="148"/>
    </row>
    <row r="20" spans="1:29" customFormat="1" ht="16.149999999999999">
      <c r="A20" s="48" t="s">
        <v>78</v>
      </c>
      <c r="B20" s="48"/>
      <c r="C20" s="48" t="s">
        <v>79</v>
      </c>
      <c r="D20" s="48"/>
      <c r="E20" s="36">
        <v>63100</v>
      </c>
      <c r="F20" s="37">
        <v>1</v>
      </c>
      <c r="G20" s="37">
        <v>0.1</v>
      </c>
      <c r="H20" s="126">
        <f t="shared" si="0"/>
        <v>2.6418708000000004E-4</v>
      </c>
      <c r="I20" s="126">
        <f t="shared" si="1"/>
        <v>4.1868000000000005E-9</v>
      </c>
      <c r="J20" s="127">
        <f t="shared" si="2"/>
        <v>4.1868000000000005E-10</v>
      </c>
      <c r="K20" s="33"/>
      <c r="L20" s="34"/>
      <c r="M20" s="35" t="str">
        <f t="shared" si="3"/>
        <v/>
      </c>
      <c r="N20" s="35" t="str">
        <f t="shared" si="4"/>
        <v/>
      </c>
      <c r="O20" s="137" t="str">
        <f t="shared" si="5"/>
        <v/>
      </c>
      <c r="P20" s="146"/>
      <c r="Q20" s="146"/>
      <c r="R20" s="146"/>
      <c r="S20" s="146"/>
      <c r="T20" s="148"/>
      <c r="U20" s="148"/>
      <c r="V20" s="148"/>
      <c r="W20" s="148"/>
    </row>
    <row r="21" spans="1:29" customFormat="1" ht="16.149999999999999">
      <c r="A21" s="48" t="s">
        <v>80</v>
      </c>
      <c r="B21" s="48"/>
      <c r="C21" s="48" t="s">
        <v>81</v>
      </c>
      <c r="D21" s="48"/>
      <c r="E21" s="36">
        <v>61600</v>
      </c>
      <c r="F21" s="37">
        <v>1</v>
      </c>
      <c r="G21" s="37">
        <v>0.1</v>
      </c>
      <c r="H21" s="126">
        <f t="shared" si="0"/>
        <v>2.5790688000000003E-4</v>
      </c>
      <c r="I21" s="126">
        <f t="shared" si="1"/>
        <v>4.1868000000000005E-9</v>
      </c>
      <c r="J21" s="127">
        <f t="shared" si="2"/>
        <v>4.1868000000000005E-10</v>
      </c>
      <c r="K21" s="33"/>
      <c r="L21" s="34"/>
      <c r="M21" s="35" t="str">
        <f t="shared" si="3"/>
        <v/>
      </c>
      <c r="N21" s="35" t="str">
        <f t="shared" si="4"/>
        <v/>
      </c>
      <c r="O21" s="137" t="str">
        <f t="shared" si="5"/>
        <v/>
      </c>
      <c r="P21" s="146"/>
      <c r="Q21" s="146"/>
      <c r="R21" s="146"/>
      <c r="S21" s="146"/>
      <c r="T21" s="148"/>
      <c r="U21" s="148"/>
      <c r="V21" s="148"/>
      <c r="W21" s="148"/>
    </row>
    <row r="22" spans="1:29" customFormat="1" ht="16.149999999999999">
      <c r="A22" s="48" t="s">
        <v>82</v>
      </c>
      <c r="B22" s="48"/>
      <c r="C22" s="48" t="s">
        <v>83</v>
      </c>
      <c r="D22" s="48"/>
      <c r="E22" s="36">
        <v>73300</v>
      </c>
      <c r="F22" s="37">
        <v>3</v>
      </c>
      <c r="G22" s="37">
        <v>0.6</v>
      </c>
      <c r="H22" s="126">
        <f t="shared" si="0"/>
        <v>3.0689244000000005E-4</v>
      </c>
      <c r="I22" s="126">
        <f t="shared" si="1"/>
        <v>1.2560400000000001E-8</v>
      </c>
      <c r="J22" s="127">
        <f t="shared" si="2"/>
        <v>2.5120800000000003E-9</v>
      </c>
      <c r="K22" s="33"/>
      <c r="L22" s="34"/>
      <c r="M22" s="35" t="str">
        <f t="shared" si="3"/>
        <v/>
      </c>
      <c r="N22" s="35" t="str">
        <f t="shared" si="4"/>
        <v/>
      </c>
      <c r="O22" s="137" t="str">
        <f t="shared" si="5"/>
        <v/>
      </c>
      <c r="P22" s="146"/>
      <c r="Q22" s="146"/>
      <c r="R22" s="146"/>
      <c r="S22" s="146"/>
      <c r="T22" s="148"/>
      <c r="U22" s="148"/>
      <c r="V22" s="148"/>
      <c r="W22" s="148"/>
    </row>
    <row r="23" spans="1:29" customFormat="1" ht="16.149999999999999">
      <c r="A23" s="48" t="s">
        <v>84</v>
      </c>
      <c r="B23" s="48"/>
      <c r="C23" s="48" t="s">
        <v>85</v>
      </c>
      <c r="D23" s="48"/>
      <c r="E23" s="36">
        <v>80700</v>
      </c>
      <c r="F23" s="37">
        <v>3</v>
      </c>
      <c r="G23" s="37">
        <v>0.6</v>
      </c>
      <c r="H23" s="126">
        <f t="shared" si="0"/>
        <v>3.3787476000000005E-4</v>
      </c>
      <c r="I23" s="126">
        <f t="shared" si="1"/>
        <v>1.2560400000000001E-8</v>
      </c>
      <c r="J23" s="127">
        <f t="shared" si="2"/>
        <v>2.5120800000000003E-9</v>
      </c>
      <c r="K23" s="33"/>
      <c r="L23" s="34"/>
      <c r="M23" s="35" t="str">
        <f t="shared" si="3"/>
        <v/>
      </c>
      <c r="N23" s="35" t="str">
        <f t="shared" si="4"/>
        <v/>
      </c>
      <c r="O23" s="137" t="str">
        <f t="shared" si="5"/>
        <v/>
      </c>
      <c r="P23" s="146"/>
      <c r="Q23" s="146"/>
      <c r="R23" s="146"/>
      <c r="S23" s="146"/>
      <c r="T23" s="148"/>
      <c r="U23" s="148"/>
      <c r="V23" s="148"/>
      <c r="W23" s="148"/>
    </row>
    <row r="24" spans="1:29" customFormat="1" ht="16.149999999999999">
      <c r="A24" s="48" t="s">
        <v>86</v>
      </c>
      <c r="B24" s="48"/>
      <c r="C24" s="48" t="s">
        <v>87</v>
      </c>
      <c r="D24" s="48"/>
      <c r="E24" s="36">
        <v>73300</v>
      </c>
      <c r="F24" s="37">
        <v>3</v>
      </c>
      <c r="G24" s="37">
        <v>0.6</v>
      </c>
      <c r="H24" s="126">
        <f t="shared" si="0"/>
        <v>3.0689244000000005E-4</v>
      </c>
      <c r="I24" s="126">
        <f t="shared" si="1"/>
        <v>1.2560400000000001E-8</v>
      </c>
      <c r="J24" s="127">
        <f t="shared" si="2"/>
        <v>2.5120800000000003E-9</v>
      </c>
      <c r="K24" s="33"/>
      <c r="L24" s="34"/>
      <c r="M24" s="35" t="str">
        <f t="shared" si="3"/>
        <v/>
      </c>
      <c r="N24" s="35" t="str">
        <f t="shared" si="4"/>
        <v/>
      </c>
      <c r="O24" s="137" t="str">
        <f t="shared" si="5"/>
        <v/>
      </c>
      <c r="P24" s="146"/>
      <c r="Q24" s="146"/>
      <c r="R24" s="146"/>
      <c r="S24" s="146"/>
      <c r="T24" s="148"/>
      <c r="U24" s="148"/>
      <c r="V24" s="148"/>
      <c r="W24" s="148"/>
    </row>
    <row r="25" spans="1:29" customFormat="1" ht="16.149999999999999">
      <c r="A25" s="48" t="s">
        <v>88</v>
      </c>
      <c r="B25" s="48"/>
      <c r="C25" s="48" t="s">
        <v>89</v>
      </c>
      <c r="D25" s="48"/>
      <c r="E25" s="36">
        <v>97500</v>
      </c>
      <c r="F25" s="37">
        <v>3</v>
      </c>
      <c r="G25" s="37">
        <v>0.6</v>
      </c>
      <c r="H25" s="126">
        <f t="shared" si="0"/>
        <v>4.0821300000000004E-4</v>
      </c>
      <c r="I25" s="126">
        <f t="shared" si="1"/>
        <v>1.2560400000000001E-8</v>
      </c>
      <c r="J25" s="127">
        <f t="shared" si="2"/>
        <v>2.5120800000000003E-9</v>
      </c>
      <c r="K25" s="33"/>
      <c r="L25" s="34"/>
      <c r="M25" s="35" t="str">
        <f t="shared" si="3"/>
        <v/>
      </c>
      <c r="N25" s="35" t="str">
        <f t="shared" si="4"/>
        <v/>
      </c>
      <c r="O25" s="137" t="str">
        <f t="shared" si="5"/>
        <v/>
      </c>
      <c r="P25" s="146"/>
      <c r="Q25" s="146"/>
      <c r="R25" s="146"/>
      <c r="S25" s="146"/>
      <c r="T25" s="148"/>
      <c r="U25" s="148"/>
      <c r="V25" s="148"/>
      <c r="W25" s="148"/>
    </row>
    <row r="26" spans="1:29" customFormat="1" ht="16.149999999999999">
      <c r="A26" s="48" t="s">
        <v>90</v>
      </c>
      <c r="B26" s="48"/>
      <c r="C26" s="48" t="s">
        <v>91</v>
      </c>
      <c r="D26" s="48"/>
      <c r="E26" s="36">
        <v>73300</v>
      </c>
      <c r="F26" s="37">
        <v>3</v>
      </c>
      <c r="G26" s="37">
        <v>0.6</v>
      </c>
      <c r="H26" s="126">
        <f t="shared" si="0"/>
        <v>3.0689244000000005E-4</v>
      </c>
      <c r="I26" s="126">
        <f t="shared" si="1"/>
        <v>1.2560400000000001E-8</v>
      </c>
      <c r="J26" s="127">
        <f t="shared" si="2"/>
        <v>2.5120800000000003E-9</v>
      </c>
      <c r="K26" s="33"/>
      <c r="L26" s="34"/>
      <c r="M26" s="35" t="str">
        <f t="shared" si="3"/>
        <v/>
      </c>
      <c r="N26" s="35" t="str">
        <f t="shared" si="4"/>
        <v/>
      </c>
      <c r="O26" s="137" t="str">
        <f t="shared" si="5"/>
        <v/>
      </c>
      <c r="P26" s="146"/>
      <c r="Q26" s="146"/>
      <c r="R26" s="146"/>
      <c r="S26" s="146"/>
      <c r="T26" s="148"/>
      <c r="U26" s="148"/>
      <c r="V26" s="148"/>
      <c r="W26" s="148"/>
    </row>
    <row r="27" spans="1:29" customFormat="1" ht="16.149999999999999">
      <c r="A27" s="49" t="s">
        <v>92</v>
      </c>
      <c r="B27" s="39" t="s">
        <v>93</v>
      </c>
      <c r="C27" s="50" t="s">
        <v>94</v>
      </c>
      <c r="D27" s="39" t="s">
        <v>95</v>
      </c>
      <c r="E27" s="36">
        <v>57600</v>
      </c>
      <c r="F27" s="37">
        <v>1</v>
      </c>
      <c r="G27" s="37">
        <v>0.1</v>
      </c>
      <c r="H27" s="126">
        <f t="shared" si="0"/>
        <v>2.4115968000000003E-4</v>
      </c>
      <c r="I27" s="126">
        <f t="shared" si="1"/>
        <v>4.1868000000000005E-9</v>
      </c>
      <c r="J27" s="127">
        <f t="shared" si="2"/>
        <v>4.1868000000000005E-10</v>
      </c>
      <c r="K27" s="33"/>
      <c r="L27" s="34"/>
      <c r="M27" s="35" t="str">
        <f t="shared" si="3"/>
        <v/>
      </c>
      <c r="N27" s="35" t="str">
        <f t="shared" si="4"/>
        <v/>
      </c>
      <c r="O27" s="137" t="str">
        <f t="shared" si="5"/>
        <v/>
      </c>
      <c r="P27" s="146"/>
      <c r="Q27" s="146"/>
      <c r="R27" s="146"/>
      <c r="S27" s="146"/>
      <c r="T27" s="148"/>
      <c r="U27" s="148"/>
      <c r="V27" s="148"/>
      <c r="W27" s="148"/>
    </row>
    <row r="28" spans="1:29" customFormat="1" ht="16.149999999999999">
      <c r="A28" s="49"/>
      <c r="B28" s="39" t="s">
        <v>96</v>
      </c>
      <c r="C28" s="50"/>
      <c r="D28" s="39" t="s">
        <v>97</v>
      </c>
      <c r="E28" s="36">
        <v>73300</v>
      </c>
      <c r="F28" s="37">
        <v>3</v>
      </c>
      <c r="G28" s="37">
        <v>0.6</v>
      </c>
      <c r="H28" s="126">
        <f t="shared" si="0"/>
        <v>3.0689244000000005E-4</v>
      </c>
      <c r="I28" s="126">
        <f t="shared" si="1"/>
        <v>1.2560400000000001E-8</v>
      </c>
      <c r="J28" s="127">
        <f t="shared" si="2"/>
        <v>2.5120800000000003E-9</v>
      </c>
      <c r="K28" s="33"/>
      <c r="L28" s="34"/>
      <c r="M28" s="35" t="str">
        <f t="shared" si="3"/>
        <v/>
      </c>
      <c r="N28" s="35" t="str">
        <f t="shared" si="4"/>
        <v/>
      </c>
      <c r="O28" s="137" t="str">
        <f t="shared" si="5"/>
        <v/>
      </c>
      <c r="P28" s="146"/>
      <c r="Q28" s="146"/>
      <c r="R28" s="146"/>
      <c r="S28" s="146"/>
      <c r="T28" s="148"/>
      <c r="U28" s="148"/>
      <c r="V28" s="148"/>
      <c r="W28" s="148"/>
    </row>
    <row r="29" spans="1:29" customFormat="1" ht="30.75">
      <c r="A29" s="49"/>
      <c r="B29" s="39" t="s">
        <v>98</v>
      </c>
      <c r="C29" s="50"/>
      <c r="D29" s="39" t="s">
        <v>99</v>
      </c>
      <c r="E29" s="36">
        <v>73300</v>
      </c>
      <c r="F29" s="37">
        <v>3</v>
      </c>
      <c r="G29" s="37">
        <v>0.6</v>
      </c>
      <c r="H29" s="126">
        <f t="shared" si="0"/>
        <v>3.0689244000000005E-4</v>
      </c>
      <c r="I29" s="126">
        <f t="shared" si="1"/>
        <v>1.2560400000000001E-8</v>
      </c>
      <c r="J29" s="127">
        <f t="shared" si="2"/>
        <v>2.5120800000000003E-9</v>
      </c>
      <c r="K29" s="33"/>
      <c r="L29" s="34"/>
      <c r="M29" s="35" t="str">
        <f t="shared" si="3"/>
        <v/>
      </c>
      <c r="N29" s="35" t="str">
        <f t="shared" si="4"/>
        <v/>
      </c>
      <c r="O29" s="137" t="str">
        <f t="shared" si="5"/>
        <v/>
      </c>
      <c r="P29" s="146"/>
      <c r="Q29" s="146"/>
      <c r="R29" s="146"/>
      <c r="S29" s="146"/>
      <c r="T29" s="148"/>
      <c r="U29" s="148"/>
      <c r="V29" s="148"/>
      <c r="W29" s="148"/>
    </row>
    <row r="30" spans="1:29" customFormat="1" ht="30.75">
      <c r="A30" s="49"/>
      <c r="B30" s="39" t="s">
        <v>100</v>
      </c>
      <c r="C30" s="50"/>
      <c r="D30" s="39" t="s">
        <v>101</v>
      </c>
      <c r="E30" s="36">
        <v>73300</v>
      </c>
      <c r="F30" s="37">
        <v>3</v>
      </c>
      <c r="G30" s="37">
        <v>0.6</v>
      </c>
      <c r="H30" s="126">
        <f t="shared" si="0"/>
        <v>3.0689244000000005E-4</v>
      </c>
      <c r="I30" s="126">
        <f t="shared" si="1"/>
        <v>1.2560400000000001E-8</v>
      </c>
      <c r="J30" s="127">
        <f t="shared" si="2"/>
        <v>2.5120800000000003E-9</v>
      </c>
      <c r="K30" s="33"/>
      <c r="L30" s="34"/>
      <c r="M30" s="35" t="str">
        <f t="shared" si="3"/>
        <v/>
      </c>
      <c r="N30" s="35" t="str">
        <f t="shared" si="4"/>
        <v/>
      </c>
      <c r="O30" s="137" t="str">
        <f t="shared" si="5"/>
        <v/>
      </c>
      <c r="P30" s="146"/>
      <c r="Q30" s="146"/>
      <c r="R30" s="146"/>
      <c r="S30" s="146"/>
      <c r="T30" s="148"/>
      <c r="U30" s="148"/>
      <c r="V30" s="148"/>
      <c r="W30" s="148"/>
    </row>
    <row r="31" spans="1:29" customFormat="1" ht="16.149999999999999">
      <c r="A31" s="48" t="s">
        <v>102</v>
      </c>
      <c r="B31" s="48"/>
      <c r="C31" s="48" t="s">
        <v>103</v>
      </c>
      <c r="D31" s="48"/>
      <c r="E31" s="36">
        <v>98300</v>
      </c>
      <c r="F31" s="37">
        <v>1</v>
      </c>
      <c r="G31" s="37">
        <v>1.5</v>
      </c>
      <c r="H31" s="126">
        <f t="shared" si="0"/>
        <v>4.1156244000000006E-4</v>
      </c>
      <c r="I31" s="126">
        <f t="shared" si="1"/>
        <v>4.1868000000000005E-9</v>
      </c>
      <c r="J31" s="127">
        <f t="shared" si="2"/>
        <v>6.2802000000000007E-9</v>
      </c>
      <c r="K31" s="33"/>
      <c r="L31" s="34"/>
      <c r="M31" s="35" t="str">
        <f t="shared" si="3"/>
        <v/>
      </c>
      <c r="N31" s="35" t="str">
        <f t="shared" si="4"/>
        <v/>
      </c>
      <c r="O31" s="137" t="str">
        <f t="shared" si="5"/>
        <v/>
      </c>
      <c r="P31" s="146"/>
      <c r="Q31" s="146"/>
      <c r="R31" s="146"/>
      <c r="S31" s="146"/>
      <c r="T31" s="148"/>
      <c r="U31" s="148"/>
      <c r="V31" s="148"/>
      <c r="W31" s="148"/>
    </row>
    <row r="32" spans="1:29" customFormat="1" ht="16.149999999999999">
      <c r="A32" s="48" t="s">
        <v>104</v>
      </c>
      <c r="B32" s="48"/>
      <c r="C32" s="48" t="s">
        <v>105</v>
      </c>
      <c r="D32" s="48"/>
      <c r="E32" s="36">
        <v>94600</v>
      </c>
      <c r="F32" s="37">
        <v>1</v>
      </c>
      <c r="G32" s="37">
        <v>1.5</v>
      </c>
      <c r="H32" s="126">
        <f t="shared" si="0"/>
        <v>3.9607128000000003E-4</v>
      </c>
      <c r="I32" s="126">
        <f t="shared" si="1"/>
        <v>4.1868000000000005E-9</v>
      </c>
      <c r="J32" s="127">
        <f t="shared" si="2"/>
        <v>6.2802000000000007E-9</v>
      </c>
      <c r="K32" s="33"/>
      <c r="L32" s="34"/>
      <c r="M32" s="35" t="str">
        <f t="shared" si="3"/>
        <v/>
      </c>
      <c r="N32" s="35" t="str">
        <f t="shared" si="4"/>
        <v/>
      </c>
      <c r="O32" s="137" t="str">
        <f t="shared" si="5"/>
        <v/>
      </c>
      <c r="P32" s="146"/>
      <c r="Q32" s="146"/>
      <c r="R32" s="146"/>
      <c r="S32" s="146"/>
      <c r="T32" s="148"/>
      <c r="U32" s="148"/>
      <c r="V32" s="148"/>
      <c r="W32" s="148"/>
    </row>
    <row r="33" spans="1:23" customFormat="1" ht="16.149999999999999">
      <c r="A33" s="48" t="s">
        <v>106</v>
      </c>
      <c r="B33" s="48"/>
      <c r="C33" s="48" t="s">
        <v>107</v>
      </c>
      <c r="D33" s="48"/>
      <c r="E33" s="36">
        <v>94600</v>
      </c>
      <c r="F33" s="37">
        <v>1</v>
      </c>
      <c r="G33" s="37">
        <v>1.5</v>
      </c>
      <c r="H33" s="126">
        <f t="shared" si="0"/>
        <v>3.9607128000000003E-4</v>
      </c>
      <c r="I33" s="126">
        <f t="shared" si="1"/>
        <v>4.1868000000000005E-9</v>
      </c>
      <c r="J33" s="127">
        <f t="shared" si="2"/>
        <v>6.2802000000000007E-9</v>
      </c>
      <c r="K33" s="33"/>
      <c r="L33" s="34"/>
      <c r="M33" s="35" t="str">
        <f t="shared" si="3"/>
        <v/>
      </c>
      <c r="N33" s="35" t="str">
        <f t="shared" si="4"/>
        <v/>
      </c>
      <c r="O33" s="137" t="str">
        <f t="shared" si="5"/>
        <v/>
      </c>
      <c r="P33" s="146"/>
      <c r="Q33" s="146"/>
      <c r="R33" s="146"/>
      <c r="S33" s="146"/>
      <c r="T33" s="148"/>
      <c r="U33" s="148"/>
      <c r="V33" s="148"/>
      <c r="W33" s="148"/>
    </row>
    <row r="34" spans="1:23" customFormat="1" ht="16.149999999999999">
      <c r="A34" s="48" t="s">
        <v>108</v>
      </c>
      <c r="B34" s="48"/>
      <c r="C34" s="48" t="s">
        <v>109</v>
      </c>
      <c r="D34" s="48"/>
      <c r="E34" s="36">
        <v>96100</v>
      </c>
      <c r="F34" s="37">
        <v>1</v>
      </c>
      <c r="G34" s="37">
        <v>1.5</v>
      </c>
      <c r="H34" s="126">
        <f t="shared" si="0"/>
        <v>4.0235148000000004E-4</v>
      </c>
      <c r="I34" s="126">
        <f t="shared" si="1"/>
        <v>4.1868000000000005E-9</v>
      </c>
      <c r="J34" s="127">
        <f t="shared" si="2"/>
        <v>6.2802000000000007E-9</v>
      </c>
      <c r="K34" s="33"/>
      <c r="L34" s="34"/>
      <c r="M34" s="35" t="str">
        <f t="shared" si="3"/>
        <v/>
      </c>
      <c r="N34" s="35" t="str">
        <f t="shared" si="4"/>
        <v/>
      </c>
      <c r="O34" s="137" t="str">
        <f t="shared" si="5"/>
        <v/>
      </c>
      <c r="P34" s="146"/>
      <c r="Q34" s="146"/>
      <c r="R34" s="146"/>
      <c r="S34" s="146"/>
      <c r="T34" s="148"/>
      <c r="U34" s="148"/>
      <c r="V34" s="148"/>
      <c r="W34" s="148"/>
    </row>
    <row r="35" spans="1:23" customFormat="1" ht="16.149999999999999">
      <c r="A35" s="48" t="s">
        <v>110</v>
      </c>
      <c r="B35" s="48"/>
      <c r="C35" s="48" t="s">
        <v>111</v>
      </c>
      <c r="D35" s="48"/>
      <c r="E35" s="36">
        <v>101000</v>
      </c>
      <c r="F35" s="37">
        <v>1</v>
      </c>
      <c r="G35" s="37">
        <v>1.5</v>
      </c>
      <c r="H35" s="126">
        <f t="shared" si="0"/>
        <v>4.2286680000000004E-4</v>
      </c>
      <c r="I35" s="126">
        <f t="shared" si="1"/>
        <v>4.1868000000000005E-9</v>
      </c>
      <c r="J35" s="127">
        <f t="shared" si="2"/>
        <v>6.2802000000000007E-9</v>
      </c>
      <c r="K35" s="33"/>
      <c r="L35" s="34"/>
      <c r="M35" s="35" t="str">
        <f t="shared" si="3"/>
        <v/>
      </c>
      <c r="N35" s="35" t="str">
        <f t="shared" si="4"/>
        <v/>
      </c>
      <c r="O35" s="137" t="str">
        <f t="shared" si="5"/>
        <v/>
      </c>
      <c r="P35" s="146"/>
      <c r="Q35" s="146"/>
      <c r="R35" s="146"/>
      <c r="S35" s="146"/>
      <c r="T35" s="148"/>
      <c r="U35" s="148"/>
      <c r="V35" s="148"/>
      <c r="W35" s="148"/>
    </row>
    <row r="36" spans="1:23" customFormat="1" ht="16.149999999999999">
      <c r="A36" s="48" t="s">
        <v>112</v>
      </c>
      <c r="B36" s="48"/>
      <c r="C36" s="48" t="s">
        <v>113</v>
      </c>
      <c r="D36" s="48"/>
      <c r="E36" s="36">
        <v>107000</v>
      </c>
      <c r="F36" s="37">
        <v>1</v>
      </c>
      <c r="G36" s="37">
        <v>1.5</v>
      </c>
      <c r="H36" s="126">
        <f t="shared" si="0"/>
        <v>4.4798760000000005E-4</v>
      </c>
      <c r="I36" s="126">
        <f t="shared" si="1"/>
        <v>4.1868000000000005E-9</v>
      </c>
      <c r="J36" s="127">
        <f t="shared" si="2"/>
        <v>6.2802000000000007E-9</v>
      </c>
      <c r="K36" s="33"/>
      <c r="L36" s="34"/>
      <c r="M36" s="35" t="str">
        <f t="shared" si="3"/>
        <v/>
      </c>
      <c r="N36" s="35" t="str">
        <f t="shared" si="4"/>
        <v/>
      </c>
      <c r="O36" s="137" t="str">
        <f t="shared" si="5"/>
        <v/>
      </c>
      <c r="P36" s="146"/>
      <c r="Q36" s="146"/>
      <c r="R36" s="146"/>
      <c r="S36" s="146"/>
      <c r="T36" s="148"/>
      <c r="U36" s="148"/>
      <c r="V36" s="148"/>
      <c r="W36" s="148"/>
    </row>
    <row r="37" spans="1:23" customFormat="1" ht="16.149999999999999">
      <c r="A37" s="48" t="s">
        <v>114</v>
      </c>
      <c r="B37" s="48"/>
      <c r="C37" s="48" t="s">
        <v>115</v>
      </c>
      <c r="D37" s="48"/>
      <c r="E37" s="36">
        <v>97500</v>
      </c>
      <c r="F37" s="37">
        <v>1</v>
      </c>
      <c r="G37" s="37">
        <v>1.5</v>
      </c>
      <c r="H37" s="126">
        <f t="shared" si="0"/>
        <v>4.0821300000000004E-4</v>
      </c>
      <c r="I37" s="126">
        <f t="shared" si="1"/>
        <v>4.1868000000000005E-9</v>
      </c>
      <c r="J37" s="127">
        <f t="shared" si="2"/>
        <v>6.2802000000000007E-9</v>
      </c>
      <c r="K37" s="33"/>
      <c r="L37" s="34"/>
      <c r="M37" s="35" t="str">
        <f t="shared" si="3"/>
        <v/>
      </c>
      <c r="N37" s="35" t="str">
        <f t="shared" si="4"/>
        <v/>
      </c>
      <c r="O37" s="137" t="str">
        <f t="shared" si="5"/>
        <v/>
      </c>
      <c r="P37" s="146"/>
      <c r="Q37" s="146"/>
      <c r="R37" s="146"/>
      <c r="S37" s="146"/>
      <c r="T37" s="148"/>
      <c r="U37" s="148"/>
      <c r="V37" s="148"/>
      <c r="W37" s="148"/>
    </row>
    <row r="38" spans="1:23" customFormat="1" ht="16.149999999999999">
      <c r="A38" s="48" t="s">
        <v>116</v>
      </c>
      <c r="B38" s="48"/>
      <c r="C38" s="48" t="s">
        <v>117</v>
      </c>
      <c r="D38" s="48"/>
      <c r="E38" s="36">
        <v>97500</v>
      </c>
      <c r="F38" s="37">
        <v>1</v>
      </c>
      <c r="G38" s="37">
        <v>1.5</v>
      </c>
      <c r="H38" s="126">
        <f t="shared" si="0"/>
        <v>4.0821300000000004E-4</v>
      </c>
      <c r="I38" s="126">
        <f t="shared" si="1"/>
        <v>4.1868000000000005E-9</v>
      </c>
      <c r="J38" s="127">
        <f t="shared" si="2"/>
        <v>6.2802000000000007E-9</v>
      </c>
      <c r="K38" s="33"/>
      <c r="L38" s="34"/>
      <c r="M38" s="35" t="str">
        <f t="shared" si="3"/>
        <v/>
      </c>
      <c r="N38" s="35" t="str">
        <f t="shared" si="4"/>
        <v/>
      </c>
      <c r="O38" s="137" t="str">
        <f t="shared" si="5"/>
        <v/>
      </c>
      <c r="P38" s="146"/>
      <c r="Q38" s="146"/>
      <c r="R38" s="146"/>
      <c r="S38" s="146"/>
      <c r="T38" s="148"/>
      <c r="U38" s="148"/>
      <c r="V38" s="148"/>
      <c r="W38" s="148"/>
    </row>
    <row r="39" spans="1:23" customFormat="1" ht="30.75">
      <c r="A39" s="49" t="s">
        <v>118</v>
      </c>
      <c r="B39" s="39" t="s">
        <v>118</v>
      </c>
      <c r="C39" s="50" t="s">
        <v>119</v>
      </c>
      <c r="D39" s="39" t="s">
        <v>120</v>
      </c>
      <c r="E39" s="36">
        <v>107000</v>
      </c>
      <c r="F39" s="37">
        <v>1</v>
      </c>
      <c r="G39" s="37">
        <v>1.5</v>
      </c>
      <c r="H39" s="126">
        <f t="shared" si="0"/>
        <v>4.4798760000000005E-4</v>
      </c>
      <c r="I39" s="126">
        <f t="shared" si="1"/>
        <v>4.1868000000000005E-9</v>
      </c>
      <c r="J39" s="127">
        <f t="shared" si="2"/>
        <v>6.2802000000000007E-9</v>
      </c>
      <c r="K39" s="33"/>
      <c r="L39" s="34"/>
      <c r="M39" s="35" t="str">
        <f t="shared" si="3"/>
        <v/>
      </c>
      <c r="N39" s="35" t="str">
        <f t="shared" si="4"/>
        <v/>
      </c>
      <c r="O39" s="137" t="str">
        <f t="shared" si="5"/>
        <v/>
      </c>
      <c r="P39" s="146"/>
      <c r="Q39" s="146"/>
      <c r="R39" s="146"/>
      <c r="S39" s="146"/>
      <c r="T39" s="148"/>
      <c r="U39" s="148"/>
      <c r="V39" s="148"/>
      <c r="W39" s="148"/>
    </row>
    <row r="40" spans="1:23" customFormat="1" ht="16.149999999999999">
      <c r="A40" s="49"/>
      <c r="B40" s="39" t="s">
        <v>121</v>
      </c>
      <c r="C40" s="50"/>
      <c r="D40" s="39" t="s">
        <v>122</v>
      </c>
      <c r="E40" s="36">
        <v>107000</v>
      </c>
      <c r="F40" s="37">
        <v>1</v>
      </c>
      <c r="G40" s="37">
        <v>0.1</v>
      </c>
      <c r="H40" s="126">
        <f t="shared" si="0"/>
        <v>4.4798760000000005E-4</v>
      </c>
      <c r="I40" s="126">
        <f t="shared" si="1"/>
        <v>4.1868000000000005E-9</v>
      </c>
      <c r="J40" s="127">
        <f t="shared" si="2"/>
        <v>4.1868000000000005E-10</v>
      </c>
      <c r="K40" s="33"/>
      <c r="L40" s="34"/>
      <c r="M40" s="35" t="str">
        <f t="shared" si="3"/>
        <v/>
      </c>
      <c r="N40" s="35" t="str">
        <f t="shared" si="4"/>
        <v/>
      </c>
      <c r="O40" s="137" t="str">
        <f t="shared" si="5"/>
        <v/>
      </c>
      <c r="P40" s="146"/>
      <c r="Q40" s="146"/>
      <c r="R40" s="146"/>
      <c r="S40" s="146"/>
      <c r="T40" s="148"/>
      <c r="U40" s="148"/>
      <c r="V40" s="148"/>
      <c r="W40" s="148"/>
    </row>
    <row r="41" spans="1:23" customFormat="1" ht="16.149999999999999">
      <c r="A41" s="48" t="s">
        <v>123</v>
      </c>
      <c r="B41" s="48"/>
      <c r="C41" s="48" t="s">
        <v>124</v>
      </c>
      <c r="D41" s="48"/>
      <c r="E41" s="36">
        <v>80700</v>
      </c>
      <c r="F41" s="37">
        <v>1</v>
      </c>
      <c r="G41" s="37">
        <v>1.5</v>
      </c>
      <c r="H41" s="126">
        <f t="shared" ref="H41:H61" si="6">E41*(4186.8*10^(-9)*10^(-3))</f>
        <v>3.3787476000000005E-4</v>
      </c>
      <c r="I41" s="126">
        <f t="shared" ref="I41:I61" si="7">F41*(4186.8*10^(-9)*10^(-3))</f>
        <v>4.1868000000000005E-9</v>
      </c>
      <c r="J41" s="127">
        <f t="shared" ref="J41:J61" si="8">G41*(4186.8*10^(-9)*10^(-3))</f>
        <v>6.2802000000000007E-9</v>
      </c>
      <c r="K41" s="33"/>
      <c r="L41" s="34"/>
      <c r="M41" s="35" t="str">
        <f t="shared" ref="M41:M61" si="9">IF($K41="","",IF($K41="公斤/兆焦耳(kg/TJ)",E41*$L41,H41*$L41))</f>
        <v/>
      </c>
      <c r="N41" s="35" t="str">
        <f t="shared" ref="N41:N61" si="10">IF($K41="","",IF($K41="公斤/兆焦耳(kg/TJ)",F41*$L41,I41*$L41))</f>
        <v/>
      </c>
      <c r="O41" s="137" t="str">
        <f t="shared" ref="O41:O61" si="11">IF($K41="","",IF($K41="公斤/兆焦耳(kg/TJ)",G41*$L41,J41*$L41))</f>
        <v/>
      </c>
      <c r="P41" s="146"/>
      <c r="Q41" s="146"/>
      <c r="R41" s="146"/>
      <c r="S41" s="146"/>
      <c r="T41" s="148"/>
      <c r="U41" s="148"/>
      <c r="V41" s="148"/>
      <c r="W41" s="148"/>
    </row>
    <row r="42" spans="1:23" customFormat="1" ht="16.149999999999999">
      <c r="A42" s="49" t="s">
        <v>125</v>
      </c>
      <c r="B42" s="39" t="s">
        <v>126</v>
      </c>
      <c r="C42" s="50" t="s">
        <v>127</v>
      </c>
      <c r="D42" s="39" t="s">
        <v>128</v>
      </c>
      <c r="E42" s="36">
        <v>44400</v>
      </c>
      <c r="F42" s="37">
        <v>1</v>
      </c>
      <c r="G42" s="37">
        <v>0.1</v>
      </c>
      <c r="H42" s="126">
        <f t="shared" si="6"/>
        <v>1.8589392000000003E-4</v>
      </c>
      <c r="I42" s="126">
        <f t="shared" si="7"/>
        <v>4.1868000000000005E-9</v>
      </c>
      <c r="J42" s="127">
        <f t="shared" si="8"/>
        <v>4.1868000000000005E-10</v>
      </c>
      <c r="K42" s="33"/>
      <c r="L42" s="34"/>
      <c r="M42" s="35" t="str">
        <f t="shared" si="9"/>
        <v/>
      </c>
      <c r="N42" s="35" t="str">
        <f t="shared" si="10"/>
        <v/>
      </c>
      <c r="O42" s="137" t="str">
        <f t="shared" si="11"/>
        <v/>
      </c>
      <c r="P42" s="146"/>
      <c r="Q42" s="146"/>
      <c r="R42" s="146"/>
      <c r="S42" s="146"/>
      <c r="T42" s="148"/>
      <c r="U42" s="148"/>
      <c r="V42" s="148"/>
      <c r="W42" s="148"/>
    </row>
    <row r="43" spans="1:23" customFormat="1" ht="16.149999999999999">
      <c r="A43" s="49"/>
      <c r="B43" s="39" t="s">
        <v>129</v>
      </c>
      <c r="C43" s="50"/>
      <c r="D43" s="39" t="s">
        <v>130</v>
      </c>
      <c r="E43" s="36">
        <v>44400</v>
      </c>
      <c r="F43" s="37">
        <v>1</v>
      </c>
      <c r="G43" s="37">
        <v>0.1</v>
      </c>
      <c r="H43" s="126">
        <f t="shared" si="6"/>
        <v>1.8589392000000003E-4</v>
      </c>
      <c r="I43" s="126">
        <f t="shared" si="7"/>
        <v>4.1868000000000005E-9</v>
      </c>
      <c r="J43" s="127">
        <f t="shared" si="8"/>
        <v>4.1868000000000005E-10</v>
      </c>
      <c r="K43" s="33"/>
      <c r="L43" s="34"/>
      <c r="M43" s="35" t="str">
        <f t="shared" si="9"/>
        <v/>
      </c>
      <c r="N43" s="35" t="str">
        <f t="shared" si="10"/>
        <v/>
      </c>
      <c r="O43" s="137" t="str">
        <f t="shared" si="11"/>
        <v/>
      </c>
      <c r="P43" s="146"/>
      <c r="Q43" s="146"/>
      <c r="R43" s="146"/>
      <c r="S43" s="146"/>
      <c r="T43" s="148"/>
      <c r="U43" s="148"/>
      <c r="V43" s="148"/>
      <c r="W43" s="148"/>
    </row>
    <row r="44" spans="1:23" customFormat="1" ht="16.149999999999999">
      <c r="A44" s="49"/>
      <c r="B44" s="39" t="s">
        <v>131</v>
      </c>
      <c r="C44" s="50"/>
      <c r="D44" s="39" t="s">
        <v>132</v>
      </c>
      <c r="E44" s="36">
        <v>260000</v>
      </c>
      <c r="F44" s="37">
        <v>1</v>
      </c>
      <c r="G44" s="37">
        <v>0.1</v>
      </c>
      <c r="H44" s="126">
        <f t="shared" si="6"/>
        <v>1.088568E-3</v>
      </c>
      <c r="I44" s="126">
        <f t="shared" si="7"/>
        <v>4.1868000000000005E-9</v>
      </c>
      <c r="J44" s="127">
        <f t="shared" si="8"/>
        <v>4.1868000000000005E-10</v>
      </c>
      <c r="K44" s="33"/>
      <c r="L44" s="34"/>
      <c r="M44" s="35" t="str">
        <f t="shared" si="9"/>
        <v/>
      </c>
      <c r="N44" s="35" t="str">
        <f t="shared" si="10"/>
        <v/>
      </c>
      <c r="O44" s="137" t="str">
        <f t="shared" si="11"/>
        <v/>
      </c>
      <c r="P44" s="146"/>
      <c r="Q44" s="146"/>
      <c r="R44" s="146"/>
      <c r="S44" s="146"/>
      <c r="T44" s="148"/>
      <c r="U44" s="148"/>
      <c r="V44" s="148"/>
      <c r="W44" s="148"/>
    </row>
    <row r="45" spans="1:23" customFormat="1" ht="30.75">
      <c r="A45" s="49"/>
      <c r="B45" s="39" t="s">
        <v>133</v>
      </c>
      <c r="C45" s="50"/>
      <c r="D45" s="39" t="s">
        <v>134</v>
      </c>
      <c r="E45" s="36">
        <v>182000</v>
      </c>
      <c r="F45" s="37">
        <v>1</v>
      </c>
      <c r="G45" s="37">
        <v>0.1</v>
      </c>
      <c r="H45" s="126">
        <f t="shared" si="6"/>
        <v>7.6199760000000014E-4</v>
      </c>
      <c r="I45" s="126">
        <f t="shared" si="7"/>
        <v>4.1868000000000005E-9</v>
      </c>
      <c r="J45" s="127">
        <f t="shared" si="8"/>
        <v>4.1868000000000005E-10</v>
      </c>
      <c r="K45" s="33"/>
      <c r="L45" s="34"/>
      <c r="M45" s="35" t="str">
        <f t="shared" si="9"/>
        <v/>
      </c>
      <c r="N45" s="35" t="str">
        <f t="shared" si="10"/>
        <v/>
      </c>
      <c r="O45" s="137" t="str">
        <f t="shared" si="11"/>
        <v/>
      </c>
      <c r="P45" s="146"/>
      <c r="Q45" s="146"/>
      <c r="R45" s="146"/>
      <c r="S45" s="146"/>
      <c r="T45" s="148"/>
      <c r="U45" s="148"/>
      <c r="V45" s="148"/>
      <c r="W45" s="148"/>
    </row>
    <row r="46" spans="1:23" s="120" customFormat="1" ht="16.149999999999999">
      <c r="A46" s="115" t="s">
        <v>135</v>
      </c>
      <c r="B46" s="115"/>
      <c r="C46" s="115" t="s">
        <v>136</v>
      </c>
      <c r="D46" s="115"/>
      <c r="E46" s="116">
        <v>56100</v>
      </c>
      <c r="F46" s="117">
        <v>1</v>
      </c>
      <c r="G46" s="117">
        <v>0.1</v>
      </c>
      <c r="H46" s="128">
        <f t="shared" si="6"/>
        <v>2.3487948000000002E-4</v>
      </c>
      <c r="I46" s="128">
        <f t="shared" si="7"/>
        <v>4.1868000000000005E-9</v>
      </c>
      <c r="J46" s="129">
        <f t="shared" si="8"/>
        <v>4.1868000000000005E-10</v>
      </c>
      <c r="K46" s="118" t="s">
        <v>1024</v>
      </c>
      <c r="L46" s="119">
        <v>8845</v>
      </c>
      <c r="M46" s="131">
        <f t="shared" si="9"/>
        <v>2.0775090006000001</v>
      </c>
      <c r="N46" s="131">
        <f t="shared" si="10"/>
        <v>3.7032246000000007E-5</v>
      </c>
      <c r="O46" s="138">
        <f t="shared" si="11"/>
        <v>3.7032246000000003E-6</v>
      </c>
      <c r="P46" s="146">
        <v>100</v>
      </c>
      <c r="Q46" s="146">
        <v>1</v>
      </c>
      <c r="R46" s="146">
        <v>30</v>
      </c>
      <c r="S46" s="146">
        <v>265</v>
      </c>
      <c r="T46" s="149">
        <f>P46*M46</f>
        <v>207.75090006000002</v>
      </c>
      <c r="U46" s="147">
        <f>N46*P46*R46</f>
        <v>0.11109673800000003</v>
      </c>
      <c r="V46" s="147">
        <f>P46*O46*S46</f>
        <v>9.8135451900000004E-2</v>
      </c>
      <c r="W46" s="147">
        <f>SUM(T46:V46)</f>
        <v>207.9601322499</v>
      </c>
    </row>
    <row r="47" spans="1:23" customFormat="1" ht="16.149999999999999">
      <c r="A47" s="48" t="s">
        <v>137</v>
      </c>
      <c r="B47" s="48"/>
      <c r="C47" s="51" t="s">
        <v>138</v>
      </c>
      <c r="D47" s="51"/>
      <c r="E47" s="36">
        <v>91700</v>
      </c>
      <c r="F47" s="37">
        <v>30</v>
      </c>
      <c r="G47" s="37">
        <v>4</v>
      </c>
      <c r="H47" s="126">
        <f t="shared" si="6"/>
        <v>3.8392956000000007E-4</v>
      </c>
      <c r="I47" s="126">
        <f t="shared" si="7"/>
        <v>1.2560400000000002E-7</v>
      </c>
      <c r="J47" s="127">
        <f t="shared" si="8"/>
        <v>1.6747200000000002E-8</v>
      </c>
      <c r="K47" s="33"/>
      <c r="L47" s="34"/>
      <c r="M47" s="35" t="str">
        <f t="shared" si="9"/>
        <v/>
      </c>
      <c r="N47" s="35" t="str">
        <f t="shared" si="10"/>
        <v/>
      </c>
      <c r="O47" s="137" t="str">
        <f t="shared" si="11"/>
        <v/>
      </c>
      <c r="P47" s="146"/>
      <c r="Q47" s="146"/>
      <c r="R47" s="146"/>
      <c r="S47" s="146"/>
      <c r="T47" s="148"/>
      <c r="U47" s="148"/>
      <c r="V47" s="148"/>
      <c r="W47" s="148"/>
    </row>
    <row r="48" spans="1:23" customFormat="1" ht="16.149999999999999">
      <c r="A48" s="48" t="s">
        <v>139</v>
      </c>
      <c r="B48" s="48"/>
      <c r="C48" s="48" t="s">
        <v>140</v>
      </c>
      <c r="D48" s="48"/>
      <c r="E48" s="36">
        <v>143000</v>
      </c>
      <c r="F48" s="37">
        <v>30</v>
      </c>
      <c r="G48" s="37">
        <v>4</v>
      </c>
      <c r="H48" s="126">
        <f t="shared" si="6"/>
        <v>5.9871240000000008E-4</v>
      </c>
      <c r="I48" s="126">
        <f t="shared" si="7"/>
        <v>1.2560400000000002E-7</v>
      </c>
      <c r="J48" s="127">
        <f t="shared" si="8"/>
        <v>1.6747200000000002E-8</v>
      </c>
      <c r="K48" s="33"/>
      <c r="L48" s="34"/>
      <c r="M48" s="35" t="str">
        <f t="shared" si="9"/>
        <v/>
      </c>
      <c r="N48" s="35" t="str">
        <f t="shared" si="10"/>
        <v/>
      </c>
      <c r="O48" s="137" t="str">
        <f t="shared" si="11"/>
        <v/>
      </c>
      <c r="P48" s="146"/>
      <c r="Q48" s="146"/>
      <c r="R48" s="146"/>
      <c r="S48" s="146"/>
      <c r="T48" s="148"/>
      <c r="U48" s="148"/>
      <c r="V48" s="148"/>
      <c r="W48" s="148"/>
    </row>
    <row r="49" spans="1:23" customFormat="1" ht="16.149999999999999">
      <c r="A49" s="48" t="s">
        <v>141</v>
      </c>
      <c r="B49" s="48"/>
      <c r="C49" s="48" t="s">
        <v>142</v>
      </c>
      <c r="D49" s="48"/>
      <c r="E49" s="36">
        <v>73300</v>
      </c>
      <c r="F49" s="37">
        <v>30</v>
      </c>
      <c r="G49" s="37">
        <v>4</v>
      </c>
      <c r="H49" s="126">
        <f t="shared" si="6"/>
        <v>3.0689244000000005E-4</v>
      </c>
      <c r="I49" s="126">
        <f t="shared" si="7"/>
        <v>1.2560400000000002E-7</v>
      </c>
      <c r="J49" s="127">
        <f t="shared" si="8"/>
        <v>1.6747200000000002E-8</v>
      </c>
      <c r="K49" s="33"/>
      <c r="L49" s="34"/>
      <c r="M49" s="35" t="str">
        <f t="shared" si="9"/>
        <v/>
      </c>
      <c r="N49" s="35" t="str">
        <f t="shared" si="10"/>
        <v/>
      </c>
      <c r="O49" s="137" t="str">
        <f t="shared" si="11"/>
        <v/>
      </c>
      <c r="P49" s="146"/>
      <c r="Q49" s="146"/>
      <c r="R49" s="146"/>
      <c r="S49" s="146"/>
      <c r="T49" s="148"/>
      <c r="U49" s="148"/>
      <c r="V49" s="148"/>
      <c r="W49" s="148"/>
    </row>
    <row r="50" spans="1:23" customFormat="1" ht="16.149999999999999">
      <c r="A50" s="48" t="s">
        <v>143</v>
      </c>
      <c r="B50" s="48"/>
      <c r="C50" s="48" t="s">
        <v>144</v>
      </c>
      <c r="D50" s="48"/>
      <c r="E50" s="36">
        <v>106000</v>
      </c>
      <c r="F50" s="37">
        <v>1</v>
      </c>
      <c r="G50" s="37">
        <v>1.5</v>
      </c>
      <c r="H50" s="126">
        <f t="shared" si="6"/>
        <v>4.4380080000000006E-4</v>
      </c>
      <c r="I50" s="126">
        <f t="shared" si="7"/>
        <v>4.1868000000000005E-9</v>
      </c>
      <c r="J50" s="127">
        <f t="shared" si="8"/>
        <v>6.2802000000000007E-9</v>
      </c>
      <c r="K50" s="33"/>
      <c r="L50" s="34"/>
      <c r="M50" s="35" t="str">
        <f t="shared" si="9"/>
        <v/>
      </c>
      <c r="N50" s="35" t="str">
        <f t="shared" si="10"/>
        <v/>
      </c>
      <c r="O50" s="137" t="str">
        <f t="shared" si="11"/>
        <v/>
      </c>
      <c r="P50" s="146"/>
      <c r="Q50" s="146"/>
      <c r="R50" s="146"/>
      <c r="S50" s="146"/>
      <c r="T50" s="148"/>
      <c r="U50" s="148"/>
      <c r="V50" s="148"/>
      <c r="W50" s="148"/>
    </row>
    <row r="51" spans="1:23" customFormat="1" ht="30.75">
      <c r="A51" s="49" t="s">
        <v>145</v>
      </c>
      <c r="B51" s="39" t="s">
        <v>146</v>
      </c>
      <c r="C51" s="50" t="s">
        <v>147</v>
      </c>
      <c r="D51" s="39" t="s">
        <v>148</v>
      </c>
      <c r="E51" s="36">
        <v>112000</v>
      </c>
      <c r="F51" s="37">
        <v>30</v>
      </c>
      <c r="G51" s="37">
        <v>4</v>
      </c>
      <c r="H51" s="126">
        <f t="shared" si="6"/>
        <v>4.6892160000000006E-4</v>
      </c>
      <c r="I51" s="126">
        <f t="shared" si="7"/>
        <v>1.2560400000000002E-7</v>
      </c>
      <c r="J51" s="127">
        <f t="shared" si="8"/>
        <v>1.6747200000000002E-8</v>
      </c>
      <c r="K51" s="33"/>
      <c r="L51" s="34"/>
      <c r="M51" s="35" t="str">
        <f t="shared" si="9"/>
        <v/>
      </c>
      <c r="N51" s="35" t="str">
        <f t="shared" si="10"/>
        <v/>
      </c>
      <c r="O51" s="137" t="str">
        <f t="shared" si="11"/>
        <v/>
      </c>
      <c r="P51" s="146"/>
      <c r="Q51" s="146"/>
      <c r="R51" s="146"/>
      <c r="S51" s="146"/>
      <c r="T51" s="148"/>
      <c r="U51" s="148"/>
      <c r="V51" s="148"/>
      <c r="W51" s="148"/>
    </row>
    <row r="52" spans="1:23" customFormat="1" ht="30.75">
      <c r="A52" s="49"/>
      <c r="B52" s="39" t="s">
        <v>149</v>
      </c>
      <c r="C52" s="50"/>
      <c r="D52" s="39" t="s">
        <v>150</v>
      </c>
      <c r="E52" s="36">
        <v>95300</v>
      </c>
      <c r="F52" s="37">
        <v>3</v>
      </c>
      <c r="G52" s="37">
        <v>2</v>
      </c>
      <c r="H52" s="126">
        <f t="shared" si="6"/>
        <v>3.9900204000000003E-4</v>
      </c>
      <c r="I52" s="126">
        <f t="shared" si="7"/>
        <v>1.2560400000000001E-8</v>
      </c>
      <c r="J52" s="127">
        <f t="shared" si="8"/>
        <v>8.3736000000000009E-9</v>
      </c>
      <c r="K52" s="33"/>
      <c r="L52" s="34"/>
      <c r="M52" s="35" t="str">
        <f t="shared" si="9"/>
        <v/>
      </c>
      <c r="N52" s="35" t="str">
        <f t="shared" si="10"/>
        <v/>
      </c>
      <c r="O52" s="137" t="str">
        <f t="shared" si="11"/>
        <v/>
      </c>
      <c r="P52" s="146"/>
      <c r="Q52" s="146"/>
      <c r="R52" s="146"/>
      <c r="S52" s="146"/>
      <c r="T52" s="148"/>
      <c r="U52" s="148"/>
      <c r="V52" s="148"/>
      <c r="W52" s="148"/>
    </row>
    <row r="53" spans="1:23" customFormat="1" ht="30.75">
      <c r="A53" s="49"/>
      <c r="B53" s="39" t="s">
        <v>151</v>
      </c>
      <c r="C53" s="50"/>
      <c r="D53" s="39" t="s">
        <v>152</v>
      </c>
      <c r="E53" s="36">
        <v>100000</v>
      </c>
      <c r="F53" s="37">
        <v>30</v>
      </c>
      <c r="G53" s="37">
        <v>4</v>
      </c>
      <c r="H53" s="126">
        <f t="shared" si="6"/>
        <v>4.1868000000000005E-4</v>
      </c>
      <c r="I53" s="126">
        <f t="shared" si="7"/>
        <v>1.2560400000000002E-7</v>
      </c>
      <c r="J53" s="127">
        <f t="shared" si="8"/>
        <v>1.6747200000000002E-8</v>
      </c>
      <c r="K53" s="33"/>
      <c r="L53" s="34"/>
      <c r="M53" s="35" t="str">
        <f t="shared" si="9"/>
        <v/>
      </c>
      <c r="N53" s="35" t="str">
        <f t="shared" si="10"/>
        <v/>
      </c>
      <c r="O53" s="137" t="str">
        <f t="shared" si="11"/>
        <v/>
      </c>
      <c r="P53" s="146"/>
      <c r="Q53" s="146"/>
      <c r="R53" s="146"/>
      <c r="S53" s="146"/>
      <c r="T53" s="148"/>
      <c r="U53" s="148"/>
      <c r="V53" s="148"/>
      <c r="W53" s="148"/>
    </row>
    <row r="54" spans="1:23" customFormat="1" ht="16.149999999999999">
      <c r="A54" s="49"/>
      <c r="B54" s="39" t="s">
        <v>153</v>
      </c>
      <c r="C54" s="50"/>
      <c r="D54" s="39" t="s">
        <v>154</v>
      </c>
      <c r="E54" s="36">
        <v>112000</v>
      </c>
      <c r="F54" s="37">
        <v>200</v>
      </c>
      <c r="G54" s="37">
        <v>4</v>
      </c>
      <c r="H54" s="126">
        <f t="shared" si="6"/>
        <v>4.6892160000000006E-4</v>
      </c>
      <c r="I54" s="126">
        <f t="shared" si="7"/>
        <v>8.3736000000000008E-7</v>
      </c>
      <c r="J54" s="127">
        <f t="shared" si="8"/>
        <v>1.6747200000000002E-8</v>
      </c>
      <c r="K54" s="33"/>
      <c r="L54" s="34"/>
      <c r="M54" s="35" t="str">
        <f t="shared" si="9"/>
        <v/>
      </c>
      <c r="N54" s="35" t="str">
        <f t="shared" si="10"/>
        <v/>
      </c>
      <c r="O54" s="137" t="str">
        <f t="shared" si="11"/>
        <v/>
      </c>
      <c r="P54" s="146"/>
      <c r="Q54" s="146"/>
      <c r="R54" s="146"/>
      <c r="S54" s="146"/>
      <c r="T54" s="148"/>
      <c r="U54" s="148"/>
      <c r="V54" s="148"/>
      <c r="W54" s="148"/>
    </row>
    <row r="55" spans="1:23" customFormat="1" ht="16.149999999999999">
      <c r="A55" s="49" t="s">
        <v>155</v>
      </c>
      <c r="B55" s="39" t="s">
        <v>156</v>
      </c>
      <c r="C55" s="50" t="s">
        <v>157</v>
      </c>
      <c r="D55" s="39" t="s">
        <v>158</v>
      </c>
      <c r="E55" s="36">
        <v>70800</v>
      </c>
      <c r="F55" s="37">
        <v>3</v>
      </c>
      <c r="G55" s="37">
        <v>0.6</v>
      </c>
      <c r="H55" s="126">
        <f t="shared" si="6"/>
        <v>2.9642544000000004E-4</v>
      </c>
      <c r="I55" s="126">
        <f t="shared" si="7"/>
        <v>1.2560400000000001E-8</v>
      </c>
      <c r="J55" s="127">
        <f t="shared" si="8"/>
        <v>2.5120800000000003E-9</v>
      </c>
      <c r="K55" s="33"/>
      <c r="L55" s="34"/>
      <c r="M55" s="35" t="str">
        <f t="shared" si="9"/>
        <v/>
      </c>
      <c r="N55" s="35" t="str">
        <f t="shared" si="10"/>
        <v/>
      </c>
      <c r="O55" s="137" t="str">
        <f t="shared" si="11"/>
        <v/>
      </c>
      <c r="P55" s="146"/>
      <c r="Q55" s="146"/>
      <c r="R55" s="146"/>
      <c r="S55" s="146"/>
      <c r="T55" s="148"/>
      <c r="U55" s="148"/>
      <c r="V55" s="148"/>
      <c r="W55" s="148"/>
    </row>
    <row r="56" spans="1:23" customFormat="1" ht="16.149999999999999">
      <c r="A56" s="49"/>
      <c r="B56" s="39" t="s">
        <v>159</v>
      </c>
      <c r="C56" s="50"/>
      <c r="D56" s="39" t="s">
        <v>160</v>
      </c>
      <c r="E56" s="36">
        <v>70800</v>
      </c>
      <c r="F56" s="37">
        <v>3</v>
      </c>
      <c r="G56" s="37">
        <v>0.6</v>
      </c>
      <c r="H56" s="126">
        <f t="shared" si="6"/>
        <v>2.9642544000000004E-4</v>
      </c>
      <c r="I56" s="126">
        <f t="shared" si="7"/>
        <v>1.2560400000000001E-8</v>
      </c>
      <c r="J56" s="127">
        <f t="shared" si="8"/>
        <v>2.5120800000000003E-9</v>
      </c>
      <c r="K56" s="33"/>
      <c r="L56" s="34"/>
      <c r="M56" s="35" t="str">
        <f t="shared" si="9"/>
        <v/>
      </c>
      <c r="N56" s="35" t="str">
        <f t="shared" si="10"/>
        <v/>
      </c>
      <c r="O56" s="137" t="str">
        <f t="shared" si="11"/>
        <v/>
      </c>
      <c r="P56" s="146"/>
      <c r="Q56" s="146"/>
      <c r="R56" s="146"/>
      <c r="S56" s="146"/>
      <c r="T56" s="148"/>
      <c r="U56" s="148"/>
      <c r="V56" s="148"/>
      <c r="W56" s="148"/>
    </row>
    <row r="57" spans="1:23" customFormat="1" ht="30.75">
      <c r="A57" s="49"/>
      <c r="B57" s="39" t="s">
        <v>161</v>
      </c>
      <c r="C57" s="50"/>
      <c r="D57" s="39" t="s">
        <v>162</v>
      </c>
      <c r="E57" s="36">
        <v>79600</v>
      </c>
      <c r="F57" s="37">
        <v>3</v>
      </c>
      <c r="G57" s="37">
        <v>0.6</v>
      </c>
      <c r="H57" s="126">
        <f t="shared" si="6"/>
        <v>3.3326928000000004E-4</v>
      </c>
      <c r="I57" s="126">
        <f t="shared" si="7"/>
        <v>1.2560400000000001E-8</v>
      </c>
      <c r="J57" s="127">
        <f t="shared" si="8"/>
        <v>2.5120800000000003E-9</v>
      </c>
      <c r="K57" s="33"/>
      <c r="L57" s="34"/>
      <c r="M57" s="35" t="str">
        <f t="shared" si="9"/>
        <v/>
      </c>
      <c r="N57" s="35" t="str">
        <f t="shared" si="10"/>
        <v/>
      </c>
      <c r="O57" s="137" t="str">
        <f t="shared" si="11"/>
        <v/>
      </c>
      <c r="P57" s="146"/>
      <c r="Q57" s="146"/>
      <c r="R57" s="146"/>
      <c r="S57" s="146"/>
      <c r="T57" s="148"/>
      <c r="U57" s="148"/>
      <c r="V57" s="148"/>
      <c r="W57" s="148"/>
    </row>
    <row r="58" spans="1:23" customFormat="1" ht="16.149999999999999">
      <c r="A58" s="49" t="s">
        <v>163</v>
      </c>
      <c r="B58" s="39" t="s">
        <v>164</v>
      </c>
      <c r="C58" s="50" t="s">
        <v>165</v>
      </c>
      <c r="D58" s="39" t="s">
        <v>166</v>
      </c>
      <c r="E58" s="36">
        <v>54600</v>
      </c>
      <c r="F58" s="37">
        <v>1</v>
      </c>
      <c r="G58" s="37">
        <v>0.1</v>
      </c>
      <c r="H58" s="126">
        <f t="shared" si="6"/>
        <v>2.2859928000000003E-4</v>
      </c>
      <c r="I58" s="126">
        <f t="shared" si="7"/>
        <v>4.1868000000000005E-9</v>
      </c>
      <c r="J58" s="127">
        <f t="shared" si="8"/>
        <v>4.1868000000000005E-10</v>
      </c>
      <c r="K58" s="33"/>
      <c r="L58" s="34"/>
      <c r="M58" s="35" t="str">
        <f t="shared" si="9"/>
        <v/>
      </c>
      <c r="N58" s="35" t="str">
        <f t="shared" si="10"/>
        <v/>
      </c>
      <c r="O58" s="137" t="str">
        <f t="shared" si="11"/>
        <v/>
      </c>
      <c r="P58" s="146"/>
      <c r="Q58" s="146"/>
      <c r="R58" s="146"/>
      <c r="S58" s="146"/>
      <c r="T58" s="148"/>
      <c r="U58" s="148"/>
      <c r="V58" s="148"/>
      <c r="W58" s="148"/>
    </row>
    <row r="59" spans="1:23" customFormat="1" ht="16.149999999999999">
      <c r="A59" s="49"/>
      <c r="B59" s="39" t="s">
        <v>167</v>
      </c>
      <c r="C59" s="50"/>
      <c r="D59" s="39" t="s">
        <v>168</v>
      </c>
      <c r="E59" s="36">
        <v>54600</v>
      </c>
      <c r="F59" s="37">
        <v>1</v>
      </c>
      <c r="G59" s="37">
        <v>0.1</v>
      </c>
      <c r="H59" s="126">
        <f t="shared" si="6"/>
        <v>2.2859928000000003E-4</v>
      </c>
      <c r="I59" s="126">
        <f t="shared" si="7"/>
        <v>4.1868000000000005E-9</v>
      </c>
      <c r="J59" s="127">
        <f t="shared" si="8"/>
        <v>4.1868000000000005E-10</v>
      </c>
      <c r="K59" s="33"/>
      <c r="L59" s="34"/>
      <c r="M59" s="35" t="str">
        <f t="shared" si="9"/>
        <v/>
      </c>
      <c r="N59" s="35" t="str">
        <f t="shared" si="10"/>
        <v/>
      </c>
      <c r="O59" s="137" t="str">
        <f t="shared" si="11"/>
        <v/>
      </c>
      <c r="P59" s="146"/>
      <c r="Q59" s="146"/>
      <c r="R59" s="146"/>
      <c r="S59" s="146"/>
      <c r="T59" s="148"/>
      <c r="U59" s="148"/>
      <c r="V59" s="148"/>
      <c r="W59" s="148"/>
    </row>
    <row r="60" spans="1:23" customFormat="1" ht="16.149999999999999">
      <c r="A60" s="49"/>
      <c r="B60" s="39" t="s">
        <v>169</v>
      </c>
      <c r="C60" s="50"/>
      <c r="D60" s="39" t="s">
        <v>170</v>
      </c>
      <c r="E60" s="36">
        <v>54600</v>
      </c>
      <c r="F60" s="37">
        <v>1</v>
      </c>
      <c r="G60" s="37">
        <v>0.1</v>
      </c>
      <c r="H60" s="126">
        <f t="shared" si="6"/>
        <v>2.2859928000000003E-4</v>
      </c>
      <c r="I60" s="126">
        <f t="shared" si="7"/>
        <v>4.1868000000000005E-9</v>
      </c>
      <c r="J60" s="127">
        <f t="shared" si="8"/>
        <v>4.1868000000000005E-10</v>
      </c>
      <c r="K60" s="33"/>
      <c r="L60" s="34"/>
      <c r="M60" s="35" t="str">
        <f t="shared" si="9"/>
        <v/>
      </c>
      <c r="N60" s="35" t="str">
        <f t="shared" si="10"/>
        <v/>
      </c>
      <c r="O60" s="137" t="str">
        <f t="shared" si="11"/>
        <v/>
      </c>
      <c r="P60" s="146"/>
      <c r="Q60" s="146"/>
      <c r="R60" s="146"/>
      <c r="S60" s="146"/>
      <c r="T60" s="148"/>
      <c r="U60" s="148"/>
      <c r="V60" s="148"/>
      <c r="W60" s="148"/>
    </row>
    <row r="61" spans="1:23" customFormat="1" ht="66">
      <c r="A61" s="40" t="s">
        <v>171</v>
      </c>
      <c r="B61" s="39" t="s">
        <v>172</v>
      </c>
      <c r="C61" s="41" t="s">
        <v>173</v>
      </c>
      <c r="D61" s="42" t="s">
        <v>174</v>
      </c>
      <c r="E61" s="36">
        <v>100000</v>
      </c>
      <c r="F61" s="37">
        <v>30</v>
      </c>
      <c r="G61" s="37">
        <v>4</v>
      </c>
      <c r="H61" s="126">
        <f t="shared" si="6"/>
        <v>4.1868000000000005E-4</v>
      </c>
      <c r="I61" s="126">
        <f t="shared" si="7"/>
        <v>1.2560400000000002E-7</v>
      </c>
      <c r="J61" s="127">
        <f t="shared" si="8"/>
        <v>1.6747200000000002E-8</v>
      </c>
      <c r="K61" s="33"/>
      <c r="L61" s="34"/>
      <c r="M61" s="35" t="str">
        <f t="shared" si="9"/>
        <v/>
      </c>
      <c r="N61" s="35" t="str">
        <f t="shared" si="10"/>
        <v/>
      </c>
      <c r="O61" s="137" t="str">
        <f t="shared" si="11"/>
        <v/>
      </c>
      <c r="P61" s="146"/>
      <c r="Q61" s="146"/>
      <c r="R61" s="146"/>
      <c r="S61" s="146"/>
      <c r="T61" s="148"/>
      <c r="U61" s="148"/>
      <c r="V61" s="148"/>
      <c r="W61" s="148"/>
    </row>
    <row r="62" spans="1:23">
      <c r="A62" s="10" t="s">
        <v>175</v>
      </c>
    </row>
    <row r="63" spans="1:23">
      <c r="A63" s="10" t="s">
        <v>176</v>
      </c>
    </row>
    <row r="64" spans="1:23">
      <c r="A64" s="10" t="s">
        <v>177</v>
      </c>
    </row>
    <row r="65" spans="1:1">
      <c r="A65" s="10" t="s">
        <v>178</v>
      </c>
    </row>
  </sheetData>
  <mergeCells count="86">
    <mergeCell ref="P6:P8"/>
    <mergeCell ref="Q6:Q8"/>
    <mergeCell ref="R6:R8"/>
    <mergeCell ref="S6:S8"/>
    <mergeCell ref="T6:V6"/>
    <mergeCell ref="W6:W8"/>
    <mergeCell ref="A51:A54"/>
    <mergeCell ref="C51:C54"/>
    <mergeCell ref="A55:A57"/>
    <mergeCell ref="C55:C57"/>
    <mergeCell ref="A58:A60"/>
    <mergeCell ref="C58:C60"/>
    <mergeCell ref="A48:B48"/>
    <mergeCell ref="C48:D48"/>
    <mergeCell ref="A49:B49"/>
    <mergeCell ref="C49:D49"/>
    <mergeCell ref="A50:B50"/>
    <mergeCell ref="C50:D50"/>
    <mergeCell ref="A42:A45"/>
    <mergeCell ref="C42:C45"/>
    <mergeCell ref="A46:B46"/>
    <mergeCell ref="C46:D46"/>
    <mergeCell ref="A47:B47"/>
    <mergeCell ref="C47:D47"/>
    <mergeCell ref="A38:B38"/>
    <mergeCell ref="C38:D38"/>
    <mergeCell ref="A39:A40"/>
    <mergeCell ref="C39:C40"/>
    <mergeCell ref="A41:B41"/>
    <mergeCell ref="C41:D41"/>
    <mergeCell ref="A35:B35"/>
    <mergeCell ref="C35:D35"/>
    <mergeCell ref="A36:B36"/>
    <mergeCell ref="C36:D36"/>
    <mergeCell ref="A37:B37"/>
    <mergeCell ref="C37:D37"/>
    <mergeCell ref="A32:B32"/>
    <mergeCell ref="C32:D32"/>
    <mergeCell ref="A33:B33"/>
    <mergeCell ref="C33:D33"/>
    <mergeCell ref="A34:B34"/>
    <mergeCell ref="C34:D34"/>
    <mergeCell ref="A26:B26"/>
    <mergeCell ref="C26:D26"/>
    <mergeCell ref="A27:A30"/>
    <mergeCell ref="C27:C30"/>
    <mergeCell ref="A31:B31"/>
    <mergeCell ref="C31:D31"/>
    <mergeCell ref="A23:B23"/>
    <mergeCell ref="C23:D23"/>
    <mergeCell ref="A24:B24"/>
    <mergeCell ref="C24:D24"/>
    <mergeCell ref="A25:B25"/>
    <mergeCell ref="C25:D25"/>
    <mergeCell ref="A20:B20"/>
    <mergeCell ref="C20:D20"/>
    <mergeCell ref="A21:B21"/>
    <mergeCell ref="C21:D21"/>
    <mergeCell ref="A22:B22"/>
    <mergeCell ref="C22:D22"/>
    <mergeCell ref="A17:B17"/>
    <mergeCell ref="C17:D17"/>
    <mergeCell ref="A18:B18"/>
    <mergeCell ref="C18:D18"/>
    <mergeCell ref="A19:B19"/>
    <mergeCell ref="C19:D19"/>
    <mergeCell ref="A12:A14"/>
    <mergeCell ref="C12:C14"/>
    <mergeCell ref="A15:B15"/>
    <mergeCell ref="C15:D15"/>
    <mergeCell ref="A16:B16"/>
    <mergeCell ref="C16:D16"/>
    <mergeCell ref="A9:B9"/>
    <mergeCell ref="C9:D9"/>
    <mergeCell ref="A10:B10"/>
    <mergeCell ref="C10:D10"/>
    <mergeCell ref="A11:B11"/>
    <mergeCell ref="C11:D11"/>
    <mergeCell ref="A6:B8"/>
    <mergeCell ref="C6:D8"/>
    <mergeCell ref="E6:G6"/>
    <mergeCell ref="H6:J6"/>
    <mergeCell ref="K6:L7"/>
    <mergeCell ref="M6:O6"/>
    <mergeCell ref="E7:G7"/>
    <mergeCell ref="H7:J7"/>
  </mergeCells>
  <phoneticPr fontId="9" type="noConversion"/>
  <dataValidations count="1">
    <dataValidation type="list" allowBlank="1" showInputMessage="1" showErrorMessage="1" sqref="K9:K61">
      <formula1>"公斤/兆焦耳(kg/TJ),仟卡/公斤(Kcal/Kg),仟卡/公升(Kcal/l),仟卡/立方公尺(Kcal/m3)"</formula1>
    </dataValidation>
  </dataValidations>
  <pageMargins left="0.75000000000000011" right="0.75000000000000011" top="0.5" bottom="0.5" header="0.5" footer="0.5"/>
  <pageSetup paperSize="9" scale="80" fitToWidth="0" fitToHeight="0" orientation="landscape" copies="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5"/>
  <sheetViews>
    <sheetView tabSelected="1" topLeftCell="H7" workbookViewId="0">
      <selection activeCell="K26" sqref="K26"/>
    </sheetView>
  </sheetViews>
  <sheetFormatPr defaultColWidth="11.9296875" defaultRowHeight="15.4"/>
  <cols>
    <col min="1" max="1" width="19.9296875" style="10" customWidth="1"/>
    <col min="2" max="2" width="29.53125" style="10" customWidth="1"/>
    <col min="3" max="4" width="19.9296875" style="10" customWidth="1"/>
    <col min="5" max="5" width="17.6640625" style="10" customWidth="1"/>
    <col min="6" max="6" width="18" style="10" customWidth="1"/>
    <col min="7" max="7" width="19.19921875" style="10" customWidth="1"/>
    <col min="8" max="8" width="12.265625" style="10" customWidth="1"/>
    <col min="9" max="10" width="24.73046875" style="10" customWidth="1"/>
    <col min="11" max="11" width="12.265625" style="10" customWidth="1"/>
    <col min="12" max="12" width="12.265625" style="43" customWidth="1"/>
    <col min="13" max="13" width="12.265625" style="10" customWidth="1"/>
    <col min="14" max="14" width="11.9296875" style="10" customWidth="1"/>
    <col min="15" max="16384" width="11.9296875" style="10"/>
  </cols>
  <sheetData>
    <row r="1" spans="1:25" s="5" customFormat="1">
      <c r="A1" s="16"/>
      <c r="B1" s="17" t="s">
        <v>34</v>
      </c>
      <c r="C1" s="10"/>
      <c r="D1" s="18"/>
      <c r="E1" s="18"/>
      <c r="F1" s="18"/>
      <c r="G1" s="18"/>
      <c r="H1" s="18"/>
      <c r="I1" s="18"/>
      <c r="J1" s="18"/>
      <c r="K1" s="18"/>
      <c r="L1" s="19"/>
      <c r="M1" s="19"/>
      <c r="N1" s="10"/>
      <c r="O1" s="10"/>
      <c r="P1" s="10"/>
      <c r="Q1" s="10"/>
      <c r="R1" s="10"/>
      <c r="S1" s="10"/>
      <c r="T1" s="10"/>
      <c r="U1" s="10"/>
      <c r="V1" s="10"/>
      <c r="W1" s="10"/>
    </row>
    <row r="2" spans="1:25" s="5" customFormat="1">
      <c r="A2" s="20"/>
      <c r="B2" s="17" t="s">
        <v>35</v>
      </c>
      <c r="C2" s="10"/>
      <c r="D2" s="18"/>
      <c r="E2" s="18"/>
      <c r="F2" s="18"/>
      <c r="G2" s="18"/>
      <c r="H2" s="18"/>
      <c r="I2" s="18"/>
      <c r="J2" s="18"/>
      <c r="K2" s="18"/>
      <c r="L2" s="19"/>
      <c r="M2" s="19"/>
      <c r="N2" s="10"/>
      <c r="O2" s="10"/>
      <c r="P2" s="10"/>
      <c r="Q2" s="10"/>
      <c r="R2" s="10"/>
      <c r="S2" s="10"/>
      <c r="T2" s="10"/>
      <c r="U2" s="10"/>
      <c r="V2" s="10"/>
      <c r="W2" s="10"/>
    </row>
    <row r="3" spans="1:25" s="5" customFormat="1">
      <c r="A3" s="21"/>
      <c r="B3" s="10" t="s">
        <v>36</v>
      </c>
      <c r="C3" s="10"/>
      <c r="D3" s="18"/>
      <c r="E3" s="18"/>
      <c r="F3" s="18"/>
      <c r="G3" s="18"/>
      <c r="H3" s="18"/>
      <c r="I3" s="18"/>
      <c r="J3" s="18"/>
      <c r="K3" s="18"/>
      <c r="L3" s="19"/>
      <c r="M3" s="19"/>
      <c r="N3" s="10"/>
      <c r="O3" s="10"/>
      <c r="P3" s="10"/>
      <c r="Q3" s="10"/>
      <c r="R3" s="10"/>
      <c r="S3" s="10"/>
      <c r="T3" s="10"/>
      <c r="U3" s="10"/>
      <c r="V3" s="10"/>
      <c r="W3" s="10"/>
    </row>
    <row r="4" spans="1:25" s="5" customFormat="1">
      <c r="A4" s="22"/>
      <c r="B4" s="17" t="s">
        <v>37</v>
      </c>
      <c r="C4" s="10"/>
      <c r="D4" s="18"/>
      <c r="E4" s="18"/>
      <c r="F4" s="18"/>
      <c r="G4" s="18"/>
      <c r="H4" s="18"/>
      <c r="I4" s="18"/>
      <c r="J4" s="18"/>
      <c r="K4" s="18"/>
      <c r="L4" s="19"/>
      <c r="M4" s="19"/>
      <c r="N4" s="10"/>
      <c r="O4" s="10"/>
      <c r="P4" s="10"/>
      <c r="Q4" s="10"/>
      <c r="R4" s="10"/>
      <c r="S4" s="10"/>
      <c r="T4" s="10"/>
      <c r="U4" s="10"/>
      <c r="V4" s="10"/>
      <c r="W4" s="10"/>
    </row>
    <row r="5" spans="1:25" s="5" customFormat="1">
      <c r="A5" s="23" t="s">
        <v>11</v>
      </c>
      <c r="B5" s="17"/>
      <c r="C5" s="18"/>
      <c r="D5" s="10"/>
      <c r="E5" s="10"/>
      <c r="F5" s="18"/>
      <c r="G5" s="18"/>
      <c r="H5" s="18"/>
      <c r="I5" s="18"/>
      <c r="J5" s="18"/>
      <c r="K5" s="18"/>
      <c r="L5" s="18"/>
      <c r="M5" s="18"/>
      <c r="N5" s="19"/>
      <c r="O5" s="19"/>
      <c r="P5" s="10"/>
      <c r="Q5" s="10"/>
      <c r="R5" s="10"/>
      <c r="S5" s="10"/>
      <c r="T5" s="10"/>
      <c r="U5" s="10"/>
      <c r="V5" s="10"/>
      <c r="W5" s="10"/>
      <c r="X5" s="10"/>
      <c r="Y5" s="10"/>
    </row>
    <row r="6" spans="1:25" customFormat="1" ht="63.4">
      <c r="A6" s="44" t="s">
        <v>38</v>
      </c>
      <c r="B6" s="44" t="s">
        <v>39</v>
      </c>
      <c r="C6" s="52" t="s">
        <v>40</v>
      </c>
      <c r="D6" s="53" t="s">
        <v>41</v>
      </c>
      <c r="E6" s="46" t="s">
        <v>42</v>
      </c>
      <c r="F6" s="46"/>
      <c r="G6" s="29" t="s">
        <v>43</v>
      </c>
      <c r="H6" s="135" t="s">
        <v>1025</v>
      </c>
      <c r="I6" s="136" t="s">
        <v>1029</v>
      </c>
      <c r="J6" s="153" t="s">
        <v>43</v>
      </c>
      <c r="K6" s="156" t="s">
        <v>1028</v>
      </c>
      <c r="L6" s="10"/>
      <c r="M6" s="10"/>
      <c r="N6" s="10"/>
      <c r="O6" s="10"/>
      <c r="P6" s="10"/>
      <c r="Q6" s="10"/>
    </row>
    <row r="7" spans="1:25" customFormat="1" ht="18.399999999999999">
      <c r="A7" s="44"/>
      <c r="B7" s="44"/>
      <c r="C7" s="52" t="s">
        <v>44</v>
      </c>
      <c r="D7" s="53" t="s">
        <v>45</v>
      </c>
      <c r="E7" s="46"/>
      <c r="F7" s="46"/>
      <c r="G7" s="26" t="s">
        <v>46</v>
      </c>
      <c r="H7" s="135"/>
      <c r="I7" s="135"/>
      <c r="J7" s="141" t="s">
        <v>46</v>
      </c>
      <c r="K7" s="157"/>
      <c r="L7" s="10"/>
      <c r="M7" s="10"/>
      <c r="N7" s="10"/>
      <c r="O7" s="10"/>
      <c r="P7" s="10"/>
      <c r="Q7" s="10"/>
    </row>
    <row r="8" spans="1:25" customFormat="1" ht="18.399999999999999">
      <c r="A8" s="44"/>
      <c r="B8" s="44"/>
      <c r="C8" s="24" t="s">
        <v>49</v>
      </c>
      <c r="D8" s="27" t="s">
        <v>49</v>
      </c>
      <c r="E8" s="28" t="s">
        <v>52</v>
      </c>
      <c r="F8" s="25" t="s">
        <v>53</v>
      </c>
      <c r="G8" s="29" t="s">
        <v>49</v>
      </c>
      <c r="H8" s="135"/>
      <c r="I8" s="135"/>
      <c r="J8" s="143" t="s">
        <v>1026</v>
      </c>
      <c r="K8" s="158"/>
      <c r="L8" s="10"/>
      <c r="M8" s="10"/>
      <c r="N8" s="10"/>
      <c r="O8" s="10"/>
      <c r="P8" s="10"/>
      <c r="Q8" s="10"/>
    </row>
    <row r="9" spans="1:25" customFormat="1" ht="16.149999999999999">
      <c r="A9" s="30" t="s">
        <v>61</v>
      </c>
      <c r="B9" s="30" t="s">
        <v>63</v>
      </c>
      <c r="C9" s="32">
        <v>69300</v>
      </c>
      <c r="D9" s="126">
        <f t="shared" ref="D9:D15" si="0">C9*(4186.8*10^(-9)*10^(-3))</f>
        <v>2.9014524000000002E-4</v>
      </c>
      <c r="E9" s="33" t="s">
        <v>1022</v>
      </c>
      <c r="F9" s="34">
        <v>7609</v>
      </c>
      <c r="G9" s="154">
        <f t="shared" ref="G9:G15" si="1">IF($E9="","",IF($E9="公斤/兆焦耳(kg/TJ)",C9*$F9,D9*$F9))</f>
        <v>2.2077151311600001</v>
      </c>
      <c r="H9" s="145">
        <v>500</v>
      </c>
      <c r="I9" s="145">
        <v>1</v>
      </c>
      <c r="J9" s="145">
        <f>G9*H9*I9</f>
        <v>1103.85756558</v>
      </c>
      <c r="K9" s="159">
        <f>J9</f>
        <v>1103.85756558</v>
      </c>
      <c r="L9" s="160">
        <f>K9+P26</f>
        <v>1129.7337072147</v>
      </c>
      <c r="M9" s="10"/>
      <c r="N9" s="10"/>
      <c r="O9" s="10"/>
      <c r="P9" s="10"/>
      <c r="Q9" s="10"/>
    </row>
    <row r="10" spans="1:25" customFormat="1" ht="16.149999999999999">
      <c r="A10" s="30" t="s">
        <v>74</v>
      </c>
      <c r="B10" s="30" t="s">
        <v>179</v>
      </c>
      <c r="C10" s="37">
        <v>74100</v>
      </c>
      <c r="D10" s="126">
        <f t="shared" si="0"/>
        <v>3.1024188000000006E-4</v>
      </c>
      <c r="E10" s="33"/>
      <c r="F10" s="34"/>
      <c r="G10" s="154" t="str">
        <f t="shared" si="1"/>
        <v/>
      </c>
      <c r="H10" s="145"/>
      <c r="I10" s="145"/>
      <c r="J10" s="145"/>
      <c r="K10" s="145"/>
      <c r="L10" s="10"/>
      <c r="M10" s="10"/>
      <c r="N10" s="10"/>
      <c r="O10" s="10"/>
      <c r="P10" s="10"/>
      <c r="Q10" s="10"/>
    </row>
    <row r="11" spans="1:25" customFormat="1" ht="16.149999999999999">
      <c r="A11" s="30" t="s">
        <v>78</v>
      </c>
      <c r="B11" s="30" t="s">
        <v>79</v>
      </c>
      <c r="C11" s="37">
        <v>63100</v>
      </c>
      <c r="D11" s="126">
        <f t="shared" si="0"/>
        <v>2.6418708000000004E-4</v>
      </c>
      <c r="E11" s="33"/>
      <c r="F11" s="34"/>
      <c r="G11" s="154" t="str">
        <f t="shared" si="1"/>
        <v/>
      </c>
      <c r="H11" s="145"/>
      <c r="I11" s="145"/>
      <c r="J11" s="145"/>
      <c r="K11" s="145"/>
      <c r="L11" s="10"/>
      <c r="M11" s="10"/>
      <c r="N11" s="10"/>
      <c r="O11" s="10"/>
      <c r="P11" s="10"/>
      <c r="Q11" s="10"/>
    </row>
    <row r="12" spans="1:25" customFormat="1" ht="16.149999999999999">
      <c r="A12" s="30" t="s">
        <v>180</v>
      </c>
      <c r="B12" s="30" t="s">
        <v>181</v>
      </c>
      <c r="C12" s="37">
        <v>71900</v>
      </c>
      <c r="D12" s="126">
        <f t="shared" si="0"/>
        <v>3.0103092000000005E-4</v>
      </c>
      <c r="E12" s="33"/>
      <c r="F12" s="34"/>
      <c r="G12" s="154" t="str">
        <f t="shared" si="1"/>
        <v/>
      </c>
      <c r="H12" s="145"/>
      <c r="I12" s="145"/>
      <c r="J12" s="145"/>
      <c r="K12" s="145"/>
      <c r="L12" s="10"/>
      <c r="M12" s="10"/>
      <c r="N12" s="10"/>
      <c r="O12" s="10"/>
      <c r="P12" s="10"/>
      <c r="Q12" s="10"/>
    </row>
    <row r="13" spans="1:25" customFormat="1" ht="16.149999999999999">
      <c r="A13" s="30" t="s">
        <v>86</v>
      </c>
      <c r="B13" s="30" t="s">
        <v>87</v>
      </c>
      <c r="C13" s="37">
        <v>73300</v>
      </c>
      <c r="D13" s="126">
        <f t="shared" si="0"/>
        <v>3.0689244000000005E-4</v>
      </c>
      <c r="E13" s="33"/>
      <c r="F13" s="34"/>
      <c r="G13" s="154" t="str">
        <f t="shared" si="1"/>
        <v/>
      </c>
      <c r="H13" s="145"/>
      <c r="I13" s="145"/>
      <c r="J13" s="145"/>
      <c r="K13" s="145"/>
      <c r="L13" s="10"/>
      <c r="M13" s="10"/>
      <c r="N13" s="10"/>
      <c r="O13" s="10"/>
      <c r="P13" s="10"/>
      <c r="Q13" s="10"/>
    </row>
    <row r="14" spans="1:25" customFormat="1" ht="16.149999999999999">
      <c r="A14" s="30" t="s">
        <v>182</v>
      </c>
      <c r="B14" s="30" t="s">
        <v>183</v>
      </c>
      <c r="C14" s="37">
        <v>56100</v>
      </c>
      <c r="D14" s="126">
        <f t="shared" si="0"/>
        <v>2.3487948000000002E-4</v>
      </c>
      <c r="E14" s="33"/>
      <c r="F14" s="34"/>
      <c r="G14" s="154" t="str">
        <f t="shared" si="1"/>
        <v/>
      </c>
      <c r="H14" s="145"/>
      <c r="I14" s="145"/>
      <c r="J14" s="145"/>
      <c r="K14" s="145"/>
      <c r="L14" s="10"/>
      <c r="M14" s="10"/>
      <c r="N14" s="10"/>
      <c r="O14" s="10"/>
      <c r="P14" s="10"/>
      <c r="Q14" s="10"/>
    </row>
    <row r="15" spans="1:25" customFormat="1" ht="16.149999999999999">
      <c r="A15" s="30" t="s">
        <v>58</v>
      </c>
      <c r="B15" s="30" t="s">
        <v>184</v>
      </c>
      <c r="C15" s="37">
        <v>56100</v>
      </c>
      <c r="D15" s="126">
        <f t="shared" si="0"/>
        <v>2.3487948000000002E-4</v>
      </c>
      <c r="E15" s="33"/>
      <c r="F15" s="34"/>
      <c r="G15" s="154" t="str">
        <f t="shared" si="1"/>
        <v/>
      </c>
      <c r="H15" s="148"/>
      <c r="I15" s="148"/>
      <c r="J15" s="148"/>
      <c r="K15" s="148"/>
    </row>
    <row r="16" spans="1:25">
      <c r="A16" s="10" t="s">
        <v>175</v>
      </c>
    </row>
    <row r="17" spans="1:20">
      <c r="A17" s="10" t="s">
        <v>176</v>
      </c>
    </row>
    <row r="18" spans="1:20">
      <c r="A18" s="10" t="s">
        <v>177</v>
      </c>
    </row>
    <row r="19" spans="1:20">
      <c r="A19" s="10" t="s">
        <v>185</v>
      </c>
    </row>
    <row r="21" spans="1:20" customFormat="1" ht="17.25" customHeight="1">
      <c r="A21" s="44" t="s">
        <v>38</v>
      </c>
      <c r="B21" s="44" t="s">
        <v>39</v>
      </c>
      <c r="C21" s="44" t="s">
        <v>40</v>
      </c>
      <c r="D21" s="44"/>
      <c r="E21" s="55" t="s">
        <v>41</v>
      </c>
      <c r="F21" s="55"/>
      <c r="G21" s="46" t="s">
        <v>42</v>
      </c>
      <c r="H21" s="46"/>
      <c r="I21" s="47" t="s">
        <v>43</v>
      </c>
      <c r="J21" s="47"/>
      <c r="K21" s="135" t="s">
        <v>1025</v>
      </c>
      <c r="L21" s="136" t="s">
        <v>1031</v>
      </c>
      <c r="M21" s="136" t="s">
        <v>1031</v>
      </c>
      <c r="N21" s="139" t="s">
        <v>43</v>
      </c>
      <c r="O21" s="139"/>
      <c r="P21" s="140" t="s">
        <v>1028</v>
      </c>
      <c r="Q21" s="10"/>
      <c r="R21" s="10"/>
      <c r="S21" s="10"/>
      <c r="T21" s="10"/>
    </row>
    <row r="22" spans="1:20" customFormat="1" ht="18.399999999999999">
      <c r="A22" s="44"/>
      <c r="B22" s="44"/>
      <c r="C22" s="44" t="s">
        <v>44</v>
      </c>
      <c r="D22" s="44"/>
      <c r="E22" s="45" t="s">
        <v>45</v>
      </c>
      <c r="F22" s="45"/>
      <c r="G22" s="46"/>
      <c r="H22" s="46"/>
      <c r="I22" s="26" t="s">
        <v>46</v>
      </c>
      <c r="J22" s="26" t="s">
        <v>47</v>
      </c>
      <c r="K22" s="135"/>
      <c r="L22" s="136"/>
      <c r="M22" s="136"/>
      <c r="N22" s="141" t="s">
        <v>47</v>
      </c>
      <c r="O22" s="141" t="s">
        <v>48</v>
      </c>
      <c r="P22" s="142"/>
      <c r="Q22" s="10"/>
      <c r="R22" s="10"/>
      <c r="S22" s="10"/>
      <c r="T22" s="10"/>
    </row>
    <row r="23" spans="1:20" customFormat="1" ht="27" customHeight="1">
      <c r="A23" s="44"/>
      <c r="B23" s="44"/>
      <c r="C23" s="24" t="s">
        <v>50</v>
      </c>
      <c r="D23" s="24" t="s">
        <v>51</v>
      </c>
      <c r="E23" s="27" t="s">
        <v>50</v>
      </c>
      <c r="F23" s="27" t="s">
        <v>51</v>
      </c>
      <c r="G23" s="28" t="s">
        <v>52</v>
      </c>
      <c r="H23" s="25" t="s">
        <v>53</v>
      </c>
      <c r="I23" s="29" t="s">
        <v>50</v>
      </c>
      <c r="J23" s="29" t="s">
        <v>51</v>
      </c>
      <c r="K23" s="135"/>
      <c r="L23" s="136"/>
      <c r="M23" s="136"/>
      <c r="N23" s="143" t="s">
        <v>1027</v>
      </c>
      <c r="O23" s="143" t="s">
        <v>51</v>
      </c>
      <c r="P23" s="142"/>
      <c r="Q23" s="10"/>
      <c r="R23" s="10"/>
      <c r="S23" s="10"/>
      <c r="T23" s="10"/>
    </row>
    <row r="24" spans="1:20" customFormat="1" ht="30.75">
      <c r="A24" s="30" t="s">
        <v>186</v>
      </c>
      <c r="B24" s="30" t="s">
        <v>187</v>
      </c>
      <c r="C24" s="37">
        <v>33</v>
      </c>
      <c r="D24" s="37">
        <v>3.2</v>
      </c>
      <c r="E24" s="126">
        <f t="shared" ref="E24:F30" si="2">C24*(4186.8*10^(-9)*10^(-3))</f>
        <v>1.3816440000000001E-7</v>
      </c>
      <c r="F24" s="126">
        <f t="shared" si="2"/>
        <v>1.3397760000000002E-8</v>
      </c>
      <c r="G24" s="33" t="s">
        <v>1022</v>
      </c>
      <c r="H24" s="34">
        <v>7609</v>
      </c>
      <c r="I24" s="154">
        <f t="shared" ref="I24:J30" si="3">IF($G24="","",IF($G24="公斤/兆焦耳(kg/TJ)",C24*$H24,E24*$H24))</f>
        <v>1.0512929196000002E-3</v>
      </c>
      <c r="J24" s="154">
        <f t="shared" si="3"/>
        <v>1.0194355584000001E-4</v>
      </c>
      <c r="K24" s="144">
        <v>500</v>
      </c>
      <c r="L24" s="144">
        <v>30</v>
      </c>
      <c r="M24" s="144">
        <v>265</v>
      </c>
      <c r="N24" s="148">
        <f>I24*K24*L24</f>
        <v>15.769393794000004</v>
      </c>
      <c r="O24" s="148">
        <f>J24*K24*M24</f>
        <v>13.507521148800002</v>
      </c>
      <c r="P24" s="155">
        <f>SUM(N24:O24)</f>
        <v>29.276914942800005</v>
      </c>
    </row>
    <row r="25" spans="1:20" customFormat="1" ht="30.75">
      <c r="A25" s="30" t="s">
        <v>188</v>
      </c>
      <c r="B25" s="30" t="s">
        <v>189</v>
      </c>
      <c r="C25" s="37">
        <v>25</v>
      </c>
      <c r="D25" s="37">
        <v>8</v>
      </c>
      <c r="E25" s="126">
        <f t="shared" si="2"/>
        <v>1.0467000000000001E-7</v>
      </c>
      <c r="F25" s="126">
        <f t="shared" si="2"/>
        <v>3.3494400000000004E-8</v>
      </c>
      <c r="G25" s="33"/>
      <c r="H25" s="34"/>
      <c r="I25" s="35" t="str">
        <f t="shared" si="3"/>
        <v/>
      </c>
      <c r="J25" s="137" t="str">
        <f t="shared" si="3"/>
        <v/>
      </c>
      <c r="K25" s="148"/>
      <c r="L25" s="148"/>
      <c r="M25" s="148"/>
      <c r="N25" s="148"/>
      <c r="O25" s="148"/>
      <c r="P25" s="148"/>
    </row>
    <row r="26" spans="1:20" customFormat="1" ht="46.15">
      <c r="A26" s="30" t="s">
        <v>190</v>
      </c>
      <c r="B26" s="30" t="s">
        <v>191</v>
      </c>
      <c r="C26" s="37">
        <v>3.8</v>
      </c>
      <c r="D26" s="37">
        <v>5.7</v>
      </c>
      <c r="E26" s="126">
        <f t="shared" si="2"/>
        <v>1.590984E-8</v>
      </c>
      <c r="F26" s="126">
        <f t="shared" si="2"/>
        <v>2.3864760000000002E-8</v>
      </c>
      <c r="G26" s="33" t="s">
        <v>1022</v>
      </c>
      <c r="H26" s="34">
        <v>7609</v>
      </c>
      <c r="I26" s="154">
        <f t="shared" si="3"/>
        <v>1.2105797256E-4</v>
      </c>
      <c r="J26" s="154">
        <f t="shared" si="3"/>
        <v>1.8158695884000001E-4</v>
      </c>
      <c r="K26" s="148">
        <v>500</v>
      </c>
      <c r="L26" s="148">
        <v>30</v>
      </c>
      <c r="M26" s="148">
        <v>265</v>
      </c>
      <c r="N26" s="148">
        <f>I26*K26*L26</f>
        <v>1.8158695884</v>
      </c>
      <c r="O26" s="148">
        <f>J26*K26*M26</f>
        <v>24.0602720463</v>
      </c>
      <c r="P26" s="155">
        <f>SUM(N26:O26)</f>
        <v>25.876141634699998</v>
      </c>
    </row>
    <row r="27" spans="1:20" customFormat="1" ht="16.149999999999999">
      <c r="A27" s="30" t="s">
        <v>74</v>
      </c>
      <c r="B27" s="30" t="s">
        <v>192</v>
      </c>
      <c r="C27" s="37">
        <v>3.9</v>
      </c>
      <c r="D27" s="37">
        <v>3.9</v>
      </c>
      <c r="E27" s="126">
        <f t="shared" si="2"/>
        <v>1.6328520000000003E-8</v>
      </c>
      <c r="F27" s="126">
        <f t="shared" si="2"/>
        <v>1.6328520000000003E-8</v>
      </c>
      <c r="G27" s="33"/>
      <c r="H27" s="34"/>
      <c r="I27" s="35" t="str">
        <f t="shared" si="3"/>
        <v/>
      </c>
      <c r="J27" s="137" t="str">
        <f t="shared" si="3"/>
        <v/>
      </c>
      <c r="K27" s="148"/>
      <c r="L27" s="148"/>
      <c r="M27" s="148"/>
      <c r="N27" s="148"/>
      <c r="O27" s="148"/>
      <c r="P27" s="148"/>
    </row>
    <row r="28" spans="1:20" customFormat="1" ht="16.149999999999999">
      <c r="A28" s="30" t="s">
        <v>135</v>
      </c>
      <c r="B28" s="30" t="s">
        <v>136</v>
      </c>
      <c r="C28" s="37">
        <v>92</v>
      </c>
      <c r="D28" s="37">
        <v>3</v>
      </c>
      <c r="E28" s="126">
        <f t="shared" si="2"/>
        <v>3.8518560000000005E-7</v>
      </c>
      <c r="F28" s="126">
        <f t="shared" si="2"/>
        <v>1.2560400000000001E-8</v>
      </c>
      <c r="G28" s="33"/>
      <c r="H28" s="34"/>
      <c r="I28" s="35" t="str">
        <f t="shared" si="3"/>
        <v/>
      </c>
      <c r="J28" s="137" t="str">
        <f t="shared" si="3"/>
        <v/>
      </c>
      <c r="K28" s="148"/>
      <c r="L28" s="148"/>
      <c r="M28" s="148"/>
      <c r="N28" s="148"/>
      <c r="O28" s="148"/>
      <c r="P28" s="148"/>
    </row>
    <row r="29" spans="1:20" customFormat="1" ht="16.149999999999999">
      <c r="A29" s="30" t="s">
        <v>78</v>
      </c>
      <c r="B29" s="30" t="s">
        <v>193</v>
      </c>
      <c r="C29" s="37">
        <v>62</v>
      </c>
      <c r="D29" s="37">
        <v>0.2</v>
      </c>
      <c r="E29" s="126">
        <f t="shared" si="2"/>
        <v>2.5958160000000003E-7</v>
      </c>
      <c r="F29" s="126">
        <f t="shared" si="2"/>
        <v>8.3736000000000009E-10</v>
      </c>
      <c r="G29" s="33"/>
      <c r="H29" s="34"/>
      <c r="I29" s="35" t="str">
        <f t="shared" si="3"/>
        <v/>
      </c>
      <c r="J29" s="137" t="str">
        <f t="shared" si="3"/>
        <v/>
      </c>
      <c r="K29" s="148"/>
      <c r="L29" s="148"/>
      <c r="M29" s="148"/>
      <c r="N29" s="148"/>
      <c r="O29" s="148"/>
      <c r="P29" s="148"/>
    </row>
    <row r="30" spans="1:20" customFormat="1" ht="16.149999999999999">
      <c r="A30" s="30" t="s">
        <v>194</v>
      </c>
      <c r="B30" s="30" t="s">
        <v>195</v>
      </c>
      <c r="C30" s="37">
        <v>260</v>
      </c>
      <c r="D30" s="37">
        <v>41</v>
      </c>
      <c r="E30" s="126">
        <f t="shared" si="2"/>
        <v>1.0885680000000002E-6</v>
      </c>
      <c r="F30" s="126">
        <f t="shared" si="2"/>
        <v>1.7165880000000003E-7</v>
      </c>
      <c r="G30" s="33"/>
      <c r="H30" s="34"/>
      <c r="I30" s="35" t="str">
        <f t="shared" si="3"/>
        <v/>
      </c>
      <c r="J30" s="137" t="str">
        <f t="shared" si="3"/>
        <v/>
      </c>
      <c r="K30" s="148"/>
      <c r="L30" s="148"/>
      <c r="M30" s="148"/>
      <c r="N30" s="148"/>
      <c r="O30" s="148"/>
      <c r="P30" s="148"/>
    </row>
    <row r="31" spans="1:20" customFormat="1" ht="16.149999999999999">
      <c r="A31" s="30" t="s">
        <v>196</v>
      </c>
      <c r="B31" s="30" t="s">
        <v>197</v>
      </c>
      <c r="C31" s="37">
        <v>18</v>
      </c>
      <c r="D31" s="37" t="s">
        <v>198</v>
      </c>
      <c r="E31" s="126">
        <f>C31*(4186.8*10^(-9)*10^(-3))</f>
        <v>7.5362400000000005E-8</v>
      </c>
      <c r="F31" s="38" t="str">
        <f>IF(D31="NA","NA",D31*(4186.8*10^(-9)*10^(-3)))</f>
        <v>NA</v>
      </c>
      <c r="G31" s="33"/>
      <c r="H31" s="54"/>
      <c r="I31" s="35" t="str">
        <f>IF($G31="","",IF($G31="公斤/兆焦耳(kg/TJ)",C31*$H31,E31*$H31))</f>
        <v/>
      </c>
      <c r="J31" s="152" t="s">
        <v>198</v>
      </c>
      <c r="K31" s="148"/>
      <c r="L31" s="148"/>
      <c r="M31" s="148"/>
      <c r="N31" s="148"/>
      <c r="O31" s="148"/>
      <c r="P31" s="148"/>
    </row>
    <row r="32" spans="1:20">
      <c r="A32" s="10" t="s">
        <v>175</v>
      </c>
    </row>
    <row r="33" spans="1:1">
      <c r="A33" s="10" t="s">
        <v>176</v>
      </c>
    </row>
    <row r="34" spans="1:1">
      <c r="A34" s="10" t="s">
        <v>177</v>
      </c>
    </row>
    <row r="35" spans="1:1">
      <c r="A35" s="10" t="s">
        <v>199</v>
      </c>
    </row>
  </sheetData>
  <mergeCells count="19">
    <mergeCell ref="H6:H8"/>
    <mergeCell ref="M21:M23"/>
    <mergeCell ref="N21:O21"/>
    <mergeCell ref="P21:P23"/>
    <mergeCell ref="I6:I8"/>
    <mergeCell ref="K6:K8"/>
    <mergeCell ref="G21:H22"/>
    <mergeCell ref="I21:J21"/>
    <mergeCell ref="C22:D22"/>
    <mergeCell ref="E22:F22"/>
    <mergeCell ref="K21:K23"/>
    <mergeCell ref="L21:L23"/>
    <mergeCell ref="A6:A8"/>
    <mergeCell ref="B6:B8"/>
    <mergeCell ref="E6:F7"/>
    <mergeCell ref="A21:A23"/>
    <mergeCell ref="B21:B23"/>
    <mergeCell ref="C21:D21"/>
    <mergeCell ref="E21:F21"/>
  </mergeCells>
  <phoneticPr fontId="9" type="noConversion"/>
  <dataValidations count="1">
    <dataValidation type="list" allowBlank="1" showInputMessage="1" showErrorMessage="1" sqref="E9:E19 G24:G31">
      <formula1>"公斤/兆焦耳(kg/TJ),仟卡/公斤(Kcal/Kg),仟卡/公升(Kcal/l),仟卡/立方公尺(Kcal/m3)"</formula1>
    </dataValidation>
  </dataValidations>
  <pageMargins left="0.70000000000000007" right="0.70000000000000007" top="0.75" bottom="0.75" header="0.30000000000000004" footer="0.3000000000000000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4"/>
  <sheetViews>
    <sheetView workbookViewId="0"/>
  </sheetViews>
  <sheetFormatPr defaultColWidth="11.9296875" defaultRowHeight="15.6"/>
  <cols>
    <col min="1" max="1" width="24.73046875" style="56" customWidth="1"/>
    <col min="2" max="2" width="39.1328125" style="56" customWidth="1"/>
    <col min="3" max="4" width="19.9296875" style="56" customWidth="1"/>
    <col min="5" max="5" width="24.73046875" style="56" customWidth="1"/>
    <col min="6" max="6" width="12.265625" style="56" customWidth="1"/>
    <col min="7" max="7" width="12.265625" style="57" customWidth="1"/>
    <col min="8" max="8" width="12.265625" style="56" customWidth="1"/>
    <col min="9" max="9" width="11.9296875" style="56" customWidth="1"/>
    <col min="10" max="16384" width="11.9296875" style="56"/>
  </cols>
  <sheetData>
    <row r="1" spans="1:13" ht="15.4">
      <c r="A1" s="23" t="s">
        <v>14</v>
      </c>
    </row>
    <row r="2" spans="1:13" ht="15.4">
      <c r="A2" s="23" t="s">
        <v>200</v>
      </c>
    </row>
    <row r="3" spans="1:13" s="58" customFormat="1" ht="16.149999999999999">
      <c r="A3" s="44" t="s">
        <v>201</v>
      </c>
      <c r="B3" s="44" t="s">
        <v>202</v>
      </c>
      <c r="C3" s="44" t="s">
        <v>203</v>
      </c>
      <c r="D3" s="44" t="s">
        <v>204</v>
      </c>
      <c r="E3" s="56"/>
      <c r="F3" s="56"/>
      <c r="G3" s="56"/>
      <c r="H3" s="56"/>
      <c r="I3" s="56"/>
      <c r="J3" s="56"/>
      <c r="K3" s="56"/>
      <c r="L3" s="56"/>
      <c r="M3" s="56"/>
    </row>
    <row r="4" spans="1:13" s="58" customFormat="1" ht="16.149999999999999">
      <c r="A4" s="44"/>
      <c r="B4" s="44"/>
      <c r="C4" s="44"/>
      <c r="D4" s="44"/>
      <c r="E4" s="56"/>
      <c r="F4" s="56"/>
      <c r="G4" s="56"/>
      <c r="H4" s="56"/>
      <c r="I4" s="56"/>
      <c r="J4" s="56"/>
      <c r="K4" s="56"/>
      <c r="L4" s="56"/>
      <c r="M4" s="56"/>
    </row>
    <row r="5" spans="1:13" s="58" customFormat="1" ht="30.75">
      <c r="A5" s="30" t="s">
        <v>205</v>
      </c>
      <c r="B5" s="30" t="s">
        <v>206</v>
      </c>
      <c r="C5" s="40">
        <v>100.0869</v>
      </c>
      <c r="D5" s="30">
        <v>0.43970999999999999</v>
      </c>
      <c r="E5" s="56"/>
      <c r="F5" s="56"/>
      <c r="G5" s="56"/>
      <c r="H5" s="56"/>
      <c r="I5" s="56"/>
      <c r="J5" s="56"/>
      <c r="K5" s="56"/>
      <c r="L5" s="56"/>
      <c r="M5" s="56"/>
    </row>
    <row r="6" spans="1:13" s="58" customFormat="1" ht="30.75">
      <c r="A6" s="30" t="s">
        <v>207</v>
      </c>
      <c r="B6" s="30" t="s">
        <v>208</v>
      </c>
      <c r="C6" s="40">
        <v>84.313900000000004</v>
      </c>
      <c r="D6" s="30">
        <v>0.52197000000000005</v>
      </c>
      <c r="E6" s="56"/>
      <c r="F6" s="56"/>
      <c r="G6" s="56"/>
      <c r="H6" s="56"/>
      <c r="I6" s="56"/>
      <c r="J6" s="56"/>
      <c r="K6" s="56"/>
      <c r="L6" s="56"/>
      <c r="M6" s="56"/>
    </row>
    <row r="7" spans="1:13" s="58" customFormat="1" ht="30.75">
      <c r="A7" s="30" t="s">
        <v>209</v>
      </c>
      <c r="B7" s="30" t="s">
        <v>210</v>
      </c>
      <c r="C7" s="40">
        <v>184.4008</v>
      </c>
      <c r="D7" s="30">
        <v>0.47732000000000002</v>
      </c>
      <c r="E7" s="56"/>
      <c r="F7" s="56"/>
      <c r="G7" s="56"/>
      <c r="H7" s="56"/>
      <c r="I7" s="56"/>
      <c r="J7" s="56"/>
      <c r="K7" s="56"/>
      <c r="L7" s="56"/>
      <c r="M7" s="56"/>
    </row>
    <row r="8" spans="1:13" ht="30.75">
      <c r="A8" s="30" t="s">
        <v>211</v>
      </c>
      <c r="B8" s="30" t="s">
        <v>212</v>
      </c>
      <c r="C8" s="40">
        <v>115.8539</v>
      </c>
      <c r="D8" s="30">
        <v>0.37986999999999999</v>
      </c>
    </row>
    <row r="9" spans="1:13" ht="30.75">
      <c r="A9" s="30" t="s">
        <v>213</v>
      </c>
      <c r="B9" s="30" t="s">
        <v>214</v>
      </c>
      <c r="C9" s="40" t="s">
        <v>215</v>
      </c>
      <c r="D9" s="30" t="s">
        <v>216</v>
      </c>
    </row>
    <row r="10" spans="1:13" ht="30.75">
      <c r="A10" s="30" t="s">
        <v>217</v>
      </c>
      <c r="B10" s="30" t="s">
        <v>218</v>
      </c>
      <c r="C10" s="40">
        <v>114.947</v>
      </c>
      <c r="D10" s="30">
        <v>0.38285999999999998</v>
      </c>
    </row>
    <row r="11" spans="1:13" ht="30.75">
      <c r="A11" s="30" t="s">
        <v>219</v>
      </c>
      <c r="B11" s="30" t="s">
        <v>220</v>
      </c>
      <c r="C11" s="40">
        <v>106.0685</v>
      </c>
      <c r="D11" s="30">
        <v>0.41492000000000001</v>
      </c>
    </row>
    <row r="12" spans="1:13" s="10" customFormat="1" ht="15.4">
      <c r="A12" s="10" t="s">
        <v>221</v>
      </c>
      <c r="G12" s="43"/>
    </row>
    <row r="13" spans="1:13" ht="15.4"/>
    <row r="14" spans="1:13" ht="15.4">
      <c r="A14" s="59" t="s">
        <v>222</v>
      </c>
    </row>
    <row r="15" spans="1:13" ht="15.6" customHeight="1">
      <c r="A15" s="24" t="s">
        <v>223</v>
      </c>
      <c r="B15" s="24" t="s">
        <v>224</v>
      </c>
    </row>
    <row r="16" spans="1:13" ht="15.6" customHeight="1">
      <c r="A16" s="60" t="s">
        <v>225</v>
      </c>
      <c r="B16" s="60" t="s">
        <v>226</v>
      </c>
    </row>
    <row r="17" spans="1:7" s="10" customFormat="1" ht="18.399999999999999">
      <c r="A17" s="10" t="s">
        <v>227</v>
      </c>
      <c r="G17" s="43"/>
    </row>
    <row r="18" spans="1:7" s="10" customFormat="1" ht="15.4">
      <c r="A18" s="10" t="s">
        <v>228</v>
      </c>
      <c r="G18" s="43"/>
    </row>
    <row r="19" spans="1:7" ht="15.4"/>
    <row r="20" spans="1:7" ht="15.4">
      <c r="A20" s="59" t="s">
        <v>229</v>
      </c>
    </row>
    <row r="21" spans="1:7" ht="18.399999999999999">
      <c r="A21" s="24" t="s">
        <v>223</v>
      </c>
      <c r="B21" s="24" t="s">
        <v>230</v>
      </c>
    </row>
    <row r="22" spans="1:7" ht="17.25">
      <c r="A22" s="60" t="s">
        <v>231</v>
      </c>
      <c r="B22" s="60" t="s">
        <v>232</v>
      </c>
    </row>
    <row r="23" spans="1:7" s="10" customFormat="1" ht="15.4">
      <c r="A23" s="10" t="s">
        <v>233</v>
      </c>
      <c r="G23" s="43"/>
    </row>
    <row r="24" spans="1:7" s="10" customFormat="1" ht="15.4">
      <c r="A24" s="10" t="s">
        <v>234</v>
      </c>
      <c r="G24" s="43"/>
    </row>
    <row r="25" spans="1:7" ht="15.4"/>
    <row r="26" spans="1:7" ht="61.5">
      <c r="A26" s="24" t="s">
        <v>235</v>
      </c>
      <c r="B26" s="24" t="s">
        <v>236</v>
      </c>
      <c r="C26" s="24" t="s">
        <v>237</v>
      </c>
      <c r="D26" s="24" t="s">
        <v>238</v>
      </c>
      <c r="E26" s="24" t="s">
        <v>239</v>
      </c>
      <c r="F26" s="24" t="s">
        <v>240</v>
      </c>
    </row>
    <row r="27" spans="1:7" ht="30.75">
      <c r="A27" s="60" t="s">
        <v>241</v>
      </c>
      <c r="B27" s="60">
        <v>0.78500000000000003</v>
      </c>
      <c r="C27" s="60" t="s">
        <v>242</v>
      </c>
      <c r="D27" s="60" t="s">
        <v>243</v>
      </c>
      <c r="E27" s="60">
        <v>0.95</v>
      </c>
      <c r="F27" s="60">
        <v>0.75</v>
      </c>
    </row>
    <row r="28" spans="1:7" ht="32.65">
      <c r="A28" s="60" t="s">
        <v>244</v>
      </c>
      <c r="B28" s="60">
        <v>0.91300000000000003</v>
      </c>
      <c r="C28" s="60" t="s">
        <v>245</v>
      </c>
      <c r="D28" s="60" t="s">
        <v>246</v>
      </c>
      <c r="E28" s="60" t="s">
        <v>247</v>
      </c>
      <c r="F28" s="60" t="s">
        <v>248</v>
      </c>
    </row>
    <row r="29" spans="1:7" ht="30.75">
      <c r="A29" s="60" t="s">
        <v>249</v>
      </c>
      <c r="B29" s="60">
        <v>0.78500000000000003</v>
      </c>
      <c r="C29" s="60" t="s">
        <v>250</v>
      </c>
      <c r="D29" s="60" t="s">
        <v>198</v>
      </c>
      <c r="E29" s="60">
        <v>0.75</v>
      </c>
      <c r="F29" s="60">
        <v>0.59</v>
      </c>
    </row>
    <row r="30" spans="1:7" s="10" customFormat="1" ht="18.399999999999999">
      <c r="A30" s="10" t="s">
        <v>251</v>
      </c>
      <c r="G30" s="43"/>
    </row>
    <row r="31" spans="1:7" s="10" customFormat="1" ht="15.4">
      <c r="A31" s="10" t="s">
        <v>252</v>
      </c>
      <c r="G31" s="43"/>
    </row>
    <row r="32" spans="1:7" s="10" customFormat="1" ht="15.4">
      <c r="A32" s="10" t="s">
        <v>253</v>
      </c>
      <c r="G32" s="43"/>
    </row>
    <row r="33" spans="1:7" ht="15.4"/>
    <row r="34" spans="1:7" ht="15.4">
      <c r="A34" s="59" t="s">
        <v>254</v>
      </c>
    </row>
    <row r="35" spans="1:7" ht="18.399999999999999">
      <c r="A35" s="24" t="s">
        <v>223</v>
      </c>
      <c r="B35" s="24" t="s">
        <v>255</v>
      </c>
    </row>
    <row r="36" spans="1:7" ht="17.25">
      <c r="A36" s="60" t="s">
        <v>256</v>
      </c>
      <c r="B36" s="60" t="s">
        <v>257</v>
      </c>
    </row>
    <row r="37" spans="1:7" s="10" customFormat="1" ht="18.399999999999999">
      <c r="A37" s="10" t="s">
        <v>258</v>
      </c>
      <c r="G37" s="43"/>
    </row>
    <row r="38" spans="1:7" s="10" customFormat="1" ht="18.399999999999999">
      <c r="A38" s="10" t="s">
        <v>259</v>
      </c>
      <c r="G38" s="43"/>
    </row>
    <row r="39" spans="1:7" s="10" customFormat="1" ht="15.4">
      <c r="A39" s="10" t="s">
        <v>260</v>
      </c>
      <c r="G39" s="43"/>
    </row>
    <row r="40" spans="1:7" s="10" customFormat="1" ht="15.4">
      <c r="G40" s="43"/>
    </row>
    <row r="41" spans="1:7" s="10" customFormat="1" ht="15.4">
      <c r="A41" s="10" t="s">
        <v>261</v>
      </c>
      <c r="G41" s="43"/>
    </row>
    <row r="42" spans="1:7" ht="33.75">
      <c r="A42" s="24" t="s">
        <v>262</v>
      </c>
      <c r="B42" s="24" t="s">
        <v>263</v>
      </c>
      <c r="C42" s="24" t="s">
        <v>264</v>
      </c>
    </row>
    <row r="43" spans="1:7" ht="30.75">
      <c r="A43" s="60" t="s">
        <v>265</v>
      </c>
      <c r="B43" s="60">
        <v>0.21</v>
      </c>
      <c r="C43" s="60" t="s">
        <v>266</v>
      </c>
    </row>
    <row r="44" spans="1:7" ht="30.75">
      <c r="A44" s="60" t="s">
        <v>267</v>
      </c>
      <c r="B44" s="60">
        <v>0.21</v>
      </c>
      <c r="C44" s="60" t="s">
        <v>268</v>
      </c>
    </row>
    <row r="45" spans="1:7" ht="46.15">
      <c r="A45" s="60" t="s">
        <v>269</v>
      </c>
      <c r="B45" s="60">
        <v>0.21</v>
      </c>
      <c r="C45" s="60" t="s">
        <v>270</v>
      </c>
    </row>
    <row r="46" spans="1:7" ht="30.75">
      <c r="A46" s="60" t="s">
        <v>271</v>
      </c>
      <c r="B46" s="60">
        <v>0.19</v>
      </c>
      <c r="C46" s="60" t="s">
        <v>272</v>
      </c>
    </row>
    <row r="47" spans="1:7" ht="30.75">
      <c r="A47" s="60" t="s">
        <v>273</v>
      </c>
      <c r="B47" s="60">
        <v>0.25</v>
      </c>
      <c r="C47" s="60" t="s">
        <v>274</v>
      </c>
    </row>
    <row r="48" spans="1:7" ht="30.75">
      <c r="A48" s="60" t="s">
        <v>275</v>
      </c>
      <c r="B48" s="60">
        <v>0.18</v>
      </c>
      <c r="C48" s="60" t="s">
        <v>276</v>
      </c>
    </row>
    <row r="49" spans="1:7" ht="30.75">
      <c r="A49" s="60" t="s">
        <v>277</v>
      </c>
      <c r="B49" s="60">
        <v>0.13</v>
      </c>
      <c r="C49" s="60" t="s">
        <v>278</v>
      </c>
    </row>
    <row r="50" spans="1:7" ht="30.75">
      <c r="A50" s="60" t="s">
        <v>279</v>
      </c>
      <c r="B50" s="60">
        <v>0.1</v>
      </c>
      <c r="C50" s="60" t="s">
        <v>280</v>
      </c>
    </row>
    <row r="51" spans="1:7" ht="30.75">
      <c r="A51" s="60" t="s">
        <v>281</v>
      </c>
      <c r="B51" s="60">
        <v>0.03</v>
      </c>
      <c r="C51" s="60" t="s">
        <v>282</v>
      </c>
    </row>
    <row r="52" spans="1:7" ht="30.75">
      <c r="A52" s="60" t="s">
        <v>283</v>
      </c>
      <c r="B52" s="60">
        <v>0.2</v>
      </c>
      <c r="C52" s="60" t="s">
        <v>284</v>
      </c>
    </row>
    <row r="53" spans="1:7" s="10" customFormat="1" ht="15.4">
      <c r="A53" s="10" t="s">
        <v>285</v>
      </c>
      <c r="G53" s="43"/>
    </row>
    <row r="54" spans="1:7" s="10" customFormat="1" ht="15.4">
      <c r="A54" s="10" t="s">
        <v>286</v>
      </c>
      <c r="G54" s="43"/>
    </row>
  </sheetData>
  <mergeCells count="4">
    <mergeCell ref="A3:A4"/>
    <mergeCell ref="B3:B4"/>
    <mergeCell ref="C3:C4"/>
    <mergeCell ref="D3:D4"/>
  </mergeCells>
  <phoneticPr fontId="9" type="noConversion"/>
  <pageMargins left="0.70000000000000007" right="0.70000000000000007" top="0.75" bottom="0.75" header="0.30000000000000004" footer="0.3000000000000000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0"/>
  <sheetViews>
    <sheetView workbookViewId="0"/>
  </sheetViews>
  <sheetFormatPr defaultColWidth="8.53125" defaultRowHeight="15.6"/>
  <cols>
    <col min="1" max="1" width="39.1328125" style="65" customWidth="1"/>
    <col min="2" max="7" width="19.9296875" style="62" customWidth="1"/>
    <col min="8" max="8" width="8.53125" style="62" customWidth="1"/>
    <col min="9" max="16384" width="8.53125" style="62"/>
  </cols>
  <sheetData>
    <row r="1" spans="1:5" ht="15.4">
      <c r="A1" s="61" t="s">
        <v>16</v>
      </c>
    </row>
    <row r="2" spans="1:5" ht="15.4">
      <c r="A2" s="61" t="s">
        <v>287</v>
      </c>
    </row>
    <row r="3" spans="1:5" ht="46.15">
      <c r="A3" s="63" t="s">
        <v>288</v>
      </c>
      <c r="B3" s="63" t="s">
        <v>289</v>
      </c>
      <c r="C3" s="63" t="s">
        <v>290</v>
      </c>
      <c r="D3" s="63" t="s">
        <v>291</v>
      </c>
      <c r="E3" s="63" t="s">
        <v>292</v>
      </c>
    </row>
    <row r="4" spans="1:5" ht="15.4">
      <c r="A4" s="72" t="s">
        <v>293</v>
      </c>
      <c r="B4" s="72"/>
      <c r="C4" s="72"/>
      <c r="D4" s="72"/>
      <c r="E4" s="72"/>
    </row>
    <row r="5" spans="1:5" ht="30.75">
      <c r="A5" s="64" t="s">
        <v>294</v>
      </c>
      <c r="B5" s="64">
        <v>30.2</v>
      </c>
      <c r="C5" s="64">
        <v>15.3</v>
      </c>
      <c r="D5" s="64">
        <v>1</v>
      </c>
      <c r="E5" s="64">
        <v>1.694</v>
      </c>
    </row>
    <row r="6" spans="1:5" ht="30.75">
      <c r="A6" s="64" t="s">
        <v>295</v>
      </c>
      <c r="B6" s="64">
        <v>29.7</v>
      </c>
      <c r="C6" s="64">
        <v>15.3</v>
      </c>
      <c r="D6" s="64">
        <v>1</v>
      </c>
      <c r="E6" s="64">
        <v>1.6659999999999999</v>
      </c>
    </row>
    <row r="7" spans="1:5" ht="30.75">
      <c r="A7" s="64" t="s">
        <v>296</v>
      </c>
      <c r="B7" s="64">
        <v>30.2</v>
      </c>
      <c r="C7" s="64">
        <v>15.3</v>
      </c>
      <c r="D7" s="64">
        <v>1</v>
      </c>
      <c r="E7" s="64">
        <v>1.694</v>
      </c>
    </row>
    <row r="8" spans="1:5" ht="30.75">
      <c r="A8" s="64" t="s">
        <v>297</v>
      </c>
      <c r="B8" s="64">
        <v>36</v>
      </c>
      <c r="C8" s="64">
        <v>21</v>
      </c>
      <c r="D8" s="64">
        <v>1</v>
      </c>
      <c r="E8" s="64">
        <v>2.7719999999999998</v>
      </c>
    </row>
    <row r="9" spans="1:5" ht="15.4">
      <c r="A9" s="72" t="s">
        <v>298</v>
      </c>
      <c r="B9" s="72"/>
      <c r="C9" s="72"/>
      <c r="D9" s="72"/>
      <c r="E9" s="72"/>
    </row>
    <row r="10" spans="1:5" ht="30.75">
      <c r="A10" s="64" t="s">
        <v>299</v>
      </c>
      <c r="B10" s="64">
        <v>37.5</v>
      </c>
      <c r="C10" s="64">
        <v>15.3</v>
      </c>
      <c r="D10" s="64">
        <v>1</v>
      </c>
      <c r="E10" s="64">
        <v>2.1040000000000001</v>
      </c>
    </row>
    <row r="11" spans="1:5" ht="30.75">
      <c r="A11" s="64" t="s">
        <v>300</v>
      </c>
      <c r="B11" s="64">
        <v>42.5</v>
      </c>
      <c r="C11" s="64">
        <v>21</v>
      </c>
      <c r="D11" s="64">
        <v>1</v>
      </c>
      <c r="E11" s="64">
        <v>3.2730000000000001</v>
      </c>
    </row>
    <row r="12" spans="1:5" ht="15.4">
      <c r="A12" s="65" t="s">
        <v>301</v>
      </c>
    </row>
    <row r="13" spans="1:5" ht="15.4"/>
    <row r="14" spans="1:5" ht="15.4">
      <c r="A14" s="61" t="s">
        <v>302</v>
      </c>
    </row>
    <row r="15" spans="1:5" ht="15.4">
      <c r="A15" s="73" t="s">
        <v>303</v>
      </c>
      <c r="B15" s="63" t="s">
        <v>304</v>
      </c>
      <c r="C15" s="73" t="s">
        <v>305</v>
      </c>
      <c r="D15" s="73"/>
    </row>
    <row r="16" spans="1:5" ht="30.75">
      <c r="A16" s="73"/>
      <c r="B16" s="63" t="s">
        <v>306</v>
      </c>
      <c r="C16" s="63" t="s">
        <v>307</v>
      </c>
      <c r="D16" s="63" t="s">
        <v>308</v>
      </c>
    </row>
    <row r="17" spans="1:4" ht="46.15">
      <c r="A17" s="66" t="s">
        <v>309</v>
      </c>
      <c r="B17" s="66" t="s">
        <v>310</v>
      </c>
      <c r="C17" s="74" t="s">
        <v>311</v>
      </c>
      <c r="D17" s="74"/>
    </row>
    <row r="18" spans="1:4" ht="46.15">
      <c r="A18" s="66" t="s">
        <v>312</v>
      </c>
      <c r="B18" s="66" t="s">
        <v>313</v>
      </c>
      <c r="C18" s="66" t="s">
        <v>314</v>
      </c>
      <c r="D18" s="66" t="s">
        <v>315</v>
      </c>
    </row>
    <row r="19" spans="1:4" ht="46.15">
      <c r="A19" s="66" t="s">
        <v>316</v>
      </c>
      <c r="B19" s="66" t="s">
        <v>317</v>
      </c>
      <c r="C19" s="74" t="s">
        <v>318</v>
      </c>
      <c r="D19" s="74"/>
    </row>
    <row r="20" spans="1:4" ht="61.5">
      <c r="A20" s="66" t="s">
        <v>319</v>
      </c>
      <c r="B20" s="66" t="s">
        <v>320</v>
      </c>
      <c r="C20" s="66" t="s">
        <v>315</v>
      </c>
      <c r="D20" s="66" t="s">
        <v>321</v>
      </c>
    </row>
    <row r="21" spans="1:4" ht="46.15">
      <c r="A21" s="66" t="s">
        <v>322</v>
      </c>
      <c r="B21" s="66" t="s">
        <v>323</v>
      </c>
      <c r="C21" s="74" t="s">
        <v>321</v>
      </c>
      <c r="D21" s="74"/>
    </row>
    <row r="22" spans="1:4" ht="15.4">
      <c r="A22" s="65" t="s">
        <v>324</v>
      </c>
    </row>
    <row r="23" spans="1:4" ht="15.4"/>
    <row r="24" spans="1:4" ht="15.4">
      <c r="A24" s="65" t="s">
        <v>325</v>
      </c>
    </row>
    <row r="25" spans="1:4" ht="33.75">
      <c r="A25" s="63" t="s">
        <v>223</v>
      </c>
      <c r="B25" s="63" t="s">
        <v>326</v>
      </c>
    </row>
    <row r="26" spans="1:4" ht="30.75">
      <c r="A26" s="64" t="s">
        <v>327</v>
      </c>
      <c r="B26" s="64" t="s">
        <v>328</v>
      </c>
    </row>
    <row r="27" spans="1:4" ht="30.75">
      <c r="A27" s="64" t="s">
        <v>329</v>
      </c>
      <c r="B27" s="64">
        <v>5</v>
      </c>
    </row>
    <row r="28" spans="1:4" ht="30.75">
      <c r="A28" s="64" t="s">
        <v>330</v>
      </c>
      <c r="B28" s="64">
        <v>8</v>
      </c>
    </row>
    <row r="29" spans="1:4" ht="30.75">
      <c r="A29" s="64" t="s">
        <v>331</v>
      </c>
      <c r="B29" s="64">
        <v>9</v>
      </c>
    </row>
    <row r="30" spans="1:4" ht="46.15">
      <c r="A30" s="64" t="s">
        <v>332</v>
      </c>
      <c r="B30" s="64">
        <v>2.5</v>
      </c>
    </row>
    <row r="31" spans="1:4" ht="30.75">
      <c r="A31" s="64" t="s">
        <v>333</v>
      </c>
      <c r="B31" s="64">
        <v>9</v>
      </c>
    </row>
    <row r="32" spans="1:4" ht="46.15">
      <c r="A32" s="64" t="s">
        <v>334</v>
      </c>
      <c r="B32" s="64">
        <v>2.5</v>
      </c>
    </row>
    <row r="33" spans="1:3" ht="30.75">
      <c r="A33" s="64" t="s">
        <v>335</v>
      </c>
      <c r="B33" s="64">
        <v>7</v>
      </c>
    </row>
    <row r="34" spans="1:3" ht="46.15">
      <c r="A34" s="64" t="s">
        <v>336</v>
      </c>
      <c r="B34" s="64">
        <v>1.5</v>
      </c>
    </row>
    <row r="35" spans="1:3" ht="15.4">
      <c r="A35" s="65" t="s">
        <v>337</v>
      </c>
    </row>
    <row r="36" spans="1:3" ht="15.4"/>
    <row r="37" spans="1:3" ht="15.4">
      <c r="A37" s="61" t="s">
        <v>338</v>
      </c>
    </row>
    <row r="38" spans="1:3" ht="18.399999999999999">
      <c r="A38" s="65" t="s">
        <v>339</v>
      </c>
    </row>
    <row r="39" spans="1:3" ht="52.15">
      <c r="A39" s="63" t="s">
        <v>340</v>
      </c>
      <c r="B39" s="63" t="s">
        <v>341</v>
      </c>
      <c r="C39" s="63" t="s">
        <v>342</v>
      </c>
    </row>
    <row r="40" spans="1:3" ht="30.75">
      <c r="A40" s="64" t="s">
        <v>343</v>
      </c>
      <c r="B40" s="64">
        <v>0.92500000000000004</v>
      </c>
      <c r="C40" s="64">
        <v>0.89</v>
      </c>
    </row>
    <row r="41" spans="1:3" ht="30.75">
      <c r="A41" s="64" t="s">
        <v>344</v>
      </c>
      <c r="B41" s="64">
        <v>0.98499999999999999</v>
      </c>
      <c r="C41" s="64">
        <v>0.97</v>
      </c>
    </row>
    <row r="42" spans="1:3" ht="30.75">
      <c r="A42" s="64" t="s">
        <v>345</v>
      </c>
      <c r="B42" s="64">
        <v>0.98499999999999999</v>
      </c>
      <c r="C42" s="64">
        <v>0.94</v>
      </c>
    </row>
    <row r="43" spans="1:3" ht="30.75">
      <c r="A43" s="64" t="s">
        <v>346</v>
      </c>
      <c r="B43" s="64">
        <v>0.94</v>
      </c>
      <c r="C43" s="64">
        <v>0.89</v>
      </c>
    </row>
    <row r="44" spans="1:3" ht="18.399999999999999">
      <c r="A44" s="65" t="s">
        <v>347</v>
      </c>
    </row>
    <row r="45" spans="1:3" ht="15.4">
      <c r="A45" s="65" t="s">
        <v>348</v>
      </c>
    </row>
    <row r="46" spans="1:3" ht="15.4"/>
    <row r="47" spans="1:3" ht="15.4">
      <c r="A47" s="61" t="s">
        <v>349</v>
      </c>
    </row>
    <row r="48" spans="1:3" ht="18.75">
      <c r="A48" s="65" t="s">
        <v>350</v>
      </c>
    </row>
    <row r="49" spans="1:5" ht="18.399999999999999">
      <c r="A49" s="65" t="s">
        <v>351</v>
      </c>
    </row>
    <row r="50" spans="1:5" ht="52.15">
      <c r="A50" s="63" t="s">
        <v>223</v>
      </c>
      <c r="B50" s="63" t="s">
        <v>352</v>
      </c>
      <c r="C50" s="63" t="s">
        <v>353</v>
      </c>
    </row>
    <row r="51" spans="1:5" ht="30.75">
      <c r="A51" s="64" t="s">
        <v>354</v>
      </c>
      <c r="B51" s="64">
        <v>0.52</v>
      </c>
      <c r="C51" s="64">
        <v>0.8</v>
      </c>
    </row>
    <row r="52" spans="1:5" ht="30.75">
      <c r="A52" s="64" t="s">
        <v>355</v>
      </c>
      <c r="B52" s="64">
        <v>0.1</v>
      </c>
      <c r="C52" s="64">
        <v>0.8</v>
      </c>
    </row>
    <row r="53" spans="1:5" ht="18.399999999999999">
      <c r="A53" s="65" t="s">
        <v>356</v>
      </c>
    </row>
    <row r="54" spans="1:5" ht="15.4">
      <c r="A54" s="65" t="s">
        <v>357</v>
      </c>
    </row>
    <row r="55" spans="1:5" ht="15.4"/>
    <row r="56" spans="1:5" ht="15.4">
      <c r="A56" s="61" t="s">
        <v>358</v>
      </c>
    </row>
    <row r="57" spans="1:5" ht="15.4">
      <c r="A57" s="61" t="s">
        <v>359</v>
      </c>
    </row>
    <row r="58" spans="1:5" ht="49.15">
      <c r="A58" s="63" t="s">
        <v>288</v>
      </c>
      <c r="B58" s="63" t="s">
        <v>360</v>
      </c>
      <c r="C58" s="63" t="s">
        <v>361</v>
      </c>
      <c r="D58" s="63" t="s">
        <v>362</v>
      </c>
      <c r="E58" s="63" t="s">
        <v>363</v>
      </c>
    </row>
    <row r="59" spans="1:5" ht="30.75">
      <c r="A59" s="64" t="s">
        <v>364</v>
      </c>
      <c r="B59" s="64">
        <v>2.2999999999999998</v>
      </c>
      <c r="C59" s="64">
        <v>10.199999999999999</v>
      </c>
      <c r="D59" s="64">
        <v>2.62</v>
      </c>
      <c r="E59" s="64">
        <v>11.6</v>
      </c>
    </row>
    <row r="60" spans="1:5" ht="15.4">
      <c r="A60" s="65" t="s">
        <v>365</v>
      </c>
    </row>
    <row r="61" spans="1:5" ht="15.4"/>
    <row r="62" spans="1:5" ht="15.4">
      <c r="A62" s="61" t="s">
        <v>366</v>
      </c>
    </row>
    <row r="63" spans="1:5" ht="49.15">
      <c r="A63" s="63" t="s">
        <v>288</v>
      </c>
      <c r="B63" s="63" t="s">
        <v>360</v>
      </c>
      <c r="C63" s="63" t="s">
        <v>367</v>
      </c>
    </row>
    <row r="64" spans="1:5" ht="30.75">
      <c r="A64" s="64" t="s">
        <v>368</v>
      </c>
      <c r="B64" s="64">
        <v>1.7</v>
      </c>
      <c r="C64" s="64">
        <v>1.0900000000000001</v>
      </c>
    </row>
    <row r="65" spans="1:3" ht="30.75">
      <c r="A65" s="64" t="s">
        <v>369</v>
      </c>
      <c r="B65" s="64" t="s">
        <v>370</v>
      </c>
      <c r="C65" s="64">
        <v>1.1000000000000001</v>
      </c>
    </row>
    <row r="66" spans="1:3" ht="15.4">
      <c r="A66" s="65" t="s">
        <v>371</v>
      </c>
    </row>
    <row r="67" spans="1:3" ht="15.4"/>
    <row r="68" spans="1:3" ht="15.4">
      <c r="A68" s="61" t="s">
        <v>372</v>
      </c>
    </row>
    <row r="69" spans="1:3" ht="33.75">
      <c r="A69" s="63" t="s">
        <v>223</v>
      </c>
      <c r="B69" s="63" t="s">
        <v>373</v>
      </c>
    </row>
    <row r="70" spans="1:3" ht="30.75">
      <c r="A70" s="64" t="s">
        <v>374</v>
      </c>
      <c r="B70" s="64">
        <v>1.43</v>
      </c>
    </row>
    <row r="71" spans="1:3" ht="46.15">
      <c r="A71" s="64" t="s">
        <v>375</v>
      </c>
      <c r="B71" s="64">
        <v>1.34</v>
      </c>
    </row>
    <row r="72" spans="1:3" ht="15.4">
      <c r="A72" s="65" t="s">
        <v>376</v>
      </c>
    </row>
    <row r="73" spans="1:3" ht="15.4"/>
    <row r="74" spans="1:3" ht="15.4">
      <c r="A74" s="61" t="s">
        <v>377</v>
      </c>
    </row>
    <row r="75" spans="1:3" ht="49.15">
      <c r="A75" s="63" t="s">
        <v>378</v>
      </c>
      <c r="B75" s="63" t="s">
        <v>379</v>
      </c>
      <c r="C75" s="63" t="s">
        <v>380</v>
      </c>
    </row>
    <row r="76" spans="1:3" ht="30.75">
      <c r="A76" s="64" t="s">
        <v>381</v>
      </c>
      <c r="B76" s="64">
        <v>9.7000000000000003E-2</v>
      </c>
      <c r="C76" s="64">
        <v>0.13800000000000001</v>
      </c>
    </row>
    <row r="77" spans="1:3" ht="15.4">
      <c r="A77" s="65" t="s">
        <v>382</v>
      </c>
    </row>
    <row r="78" spans="1:3" ht="15.4">
      <c r="A78" s="65" t="s">
        <v>383</v>
      </c>
    </row>
    <row r="79" spans="1:3" ht="15.4"/>
    <row r="80" spans="1:3" ht="15.4">
      <c r="A80" s="61" t="s">
        <v>384</v>
      </c>
    </row>
    <row r="81" spans="1:6" ht="15.4">
      <c r="A81" s="61" t="s">
        <v>385</v>
      </c>
    </row>
    <row r="82" spans="1:6" ht="18.399999999999999">
      <c r="A82" s="67" t="s">
        <v>386</v>
      </c>
      <c r="B82" s="75" t="s">
        <v>387</v>
      </c>
      <c r="C82" s="75"/>
      <c r="D82" s="75"/>
      <c r="E82" s="75"/>
      <c r="F82" s="75"/>
    </row>
    <row r="83" spans="1:6" ht="18.399999999999999">
      <c r="A83" s="63" t="s">
        <v>288</v>
      </c>
      <c r="B83" s="63" t="s">
        <v>135</v>
      </c>
      <c r="C83" s="63" t="s">
        <v>388</v>
      </c>
      <c r="D83" s="63" t="s">
        <v>389</v>
      </c>
      <c r="E83" s="63" t="s">
        <v>390</v>
      </c>
      <c r="F83" s="63" t="s">
        <v>110</v>
      </c>
    </row>
    <row r="84" spans="1:6" ht="92.25">
      <c r="A84" s="64" t="s">
        <v>391</v>
      </c>
      <c r="B84" s="64">
        <v>0.67</v>
      </c>
      <c r="C84" s="64"/>
      <c r="D84" s="64"/>
      <c r="E84" s="64"/>
      <c r="F84" s="64"/>
    </row>
    <row r="85" spans="1:6" ht="46.15">
      <c r="A85" s="64" t="s">
        <v>392</v>
      </c>
      <c r="B85" s="64">
        <v>0.497</v>
      </c>
      <c r="C85" s="64"/>
      <c r="D85" s="64"/>
      <c r="E85" s="64"/>
      <c r="F85" s="64"/>
    </row>
    <row r="86" spans="1:6" ht="46.15">
      <c r="A86" s="64" t="s">
        <v>393</v>
      </c>
      <c r="B86" s="64">
        <v>0.38500000000000001</v>
      </c>
      <c r="C86" s="64">
        <v>0.26700000000000002</v>
      </c>
      <c r="D86" s="64"/>
      <c r="E86" s="64"/>
      <c r="F86" s="64"/>
    </row>
    <row r="87" spans="1:6" ht="46.15">
      <c r="A87" s="64" t="s">
        <v>394</v>
      </c>
      <c r="B87" s="64">
        <v>0.26700000000000002</v>
      </c>
      <c r="C87" s="64"/>
      <c r="D87" s="64"/>
      <c r="E87" s="64"/>
      <c r="F87" s="64"/>
    </row>
    <row r="88" spans="1:6" ht="46.15">
      <c r="A88" s="64" t="s">
        <v>395</v>
      </c>
      <c r="B88" s="64">
        <v>0.39600000000000002</v>
      </c>
      <c r="C88" s="64"/>
      <c r="D88" s="64"/>
      <c r="E88" s="64"/>
      <c r="F88" s="64"/>
    </row>
    <row r="89" spans="1:6" ht="46.15">
      <c r="A89" s="64" t="s">
        <v>396</v>
      </c>
      <c r="B89" s="64">
        <v>0.31</v>
      </c>
      <c r="C89" s="64"/>
      <c r="D89" s="64"/>
      <c r="E89" s="64"/>
      <c r="F89" s="64"/>
    </row>
    <row r="90" spans="1:6" ht="30.75">
      <c r="A90" s="64" t="s">
        <v>397</v>
      </c>
      <c r="B90" s="64"/>
      <c r="C90" s="64"/>
      <c r="D90" s="64">
        <v>1.3759999999999999</v>
      </c>
      <c r="E90" s="64">
        <v>5.2850000000000001</v>
      </c>
      <c r="F90" s="64">
        <v>5.0199999999999996</v>
      </c>
    </row>
    <row r="91" spans="1:6" ht="46.15">
      <c r="A91" s="64" t="s">
        <v>398</v>
      </c>
      <c r="B91" s="64">
        <v>1.02</v>
      </c>
      <c r="C91" s="64"/>
      <c r="D91" s="64"/>
      <c r="E91" s="64"/>
      <c r="F91" s="64"/>
    </row>
    <row r="92" spans="1:6" ht="15.4">
      <c r="A92" s="65" t="s">
        <v>399</v>
      </c>
    </row>
    <row r="93" spans="1:6" ht="15.4">
      <c r="A93" s="65" t="s">
        <v>400</v>
      </c>
    </row>
    <row r="94" spans="1:6" ht="15.4">
      <c r="A94" s="65" t="s">
        <v>401</v>
      </c>
    </row>
    <row r="95" spans="1:6" ht="15.4"/>
    <row r="96" spans="1:6" ht="15.4">
      <c r="A96" s="61" t="s">
        <v>402</v>
      </c>
    </row>
    <row r="97" spans="1:7" s="5" customFormat="1" ht="18" customHeight="1">
      <c r="A97" s="44" t="s">
        <v>403</v>
      </c>
      <c r="B97" s="44"/>
      <c r="C97" s="44"/>
      <c r="D97" s="44"/>
      <c r="E97" s="44"/>
      <c r="F97" s="44"/>
      <c r="G97" s="44"/>
    </row>
    <row r="98" spans="1:7" s="5" customFormat="1" ht="15.4">
      <c r="A98" s="24" t="s">
        <v>386</v>
      </c>
      <c r="B98" s="24" t="s">
        <v>82</v>
      </c>
      <c r="C98" s="24" t="s">
        <v>60</v>
      </c>
      <c r="D98" s="24" t="s">
        <v>80</v>
      </c>
      <c r="E98" s="24" t="s">
        <v>404</v>
      </c>
      <c r="F98" s="24" t="s">
        <v>405</v>
      </c>
      <c r="G98" s="24" t="s">
        <v>406</v>
      </c>
    </row>
    <row r="99" spans="1:7" s="5" customFormat="1" ht="46.15">
      <c r="A99" s="42" t="s">
        <v>407</v>
      </c>
      <c r="B99" s="40">
        <v>1.73</v>
      </c>
      <c r="C99" s="40">
        <v>2.29</v>
      </c>
      <c r="D99" s="40">
        <v>0.95</v>
      </c>
      <c r="E99" s="40">
        <v>1.04</v>
      </c>
      <c r="F99" s="40">
        <v>1.07</v>
      </c>
      <c r="G99" s="40">
        <v>1.73</v>
      </c>
    </row>
    <row r="100" spans="1:7" s="5" customFormat="1" ht="15.4">
      <c r="A100" s="42" t="s">
        <v>408</v>
      </c>
      <c r="B100" s="40">
        <v>1.73</v>
      </c>
      <c r="C100" s="40">
        <v>2.17</v>
      </c>
      <c r="D100" s="40">
        <v>0.76</v>
      </c>
      <c r="E100" s="40">
        <v>1.04</v>
      </c>
      <c r="F100" s="40">
        <v>1.07</v>
      </c>
      <c r="G100" s="40">
        <v>1.73</v>
      </c>
    </row>
    <row r="101" spans="1:7" s="5" customFormat="1" ht="15.4">
      <c r="A101" s="42" t="s">
        <v>409</v>
      </c>
      <c r="B101" s="40">
        <v>0</v>
      </c>
      <c r="C101" s="40">
        <v>0.12</v>
      </c>
      <c r="D101" s="40">
        <v>0.19</v>
      </c>
      <c r="E101" s="40">
        <v>0</v>
      </c>
      <c r="F101" s="40">
        <v>0</v>
      </c>
      <c r="G101" s="40">
        <v>0</v>
      </c>
    </row>
    <row r="102" spans="1:7" ht="18.399999999999999">
      <c r="A102" s="65" t="s">
        <v>410</v>
      </c>
    </row>
    <row r="103" spans="1:7" ht="15.4">
      <c r="A103" s="65" t="s">
        <v>411</v>
      </c>
    </row>
    <row r="104" spans="1:7" ht="15.4"/>
    <row r="105" spans="1:7" ht="15.4">
      <c r="A105" s="61" t="s">
        <v>412</v>
      </c>
    </row>
    <row r="106" spans="1:7" s="5" customFormat="1" ht="18.399999999999999">
      <c r="A106" s="76" t="s">
        <v>288</v>
      </c>
      <c r="B106" s="68" t="s">
        <v>413</v>
      </c>
      <c r="C106" s="24" t="s">
        <v>413</v>
      </c>
    </row>
    <row r="107" spans="1:7" s="5" customFormat="1" ht="30.75">
      <c r="A107" s="76"/>
      <c r="B107" s="68" t="s">
        <v>414</v>
      </c>
      <c r="C107" s="24" t="s">
        <v>415</v>
      </c>
    </row>
    <row r="108" spans="1:7" s="5" customFormat="1" ht="15.4">
      <c r="A108" s="77" t="s">
        <v>416</v>
      </c>
      <c r="B108" s="77"/>
      <c r="C108" s="77"/>
    </row>
    <row r="109" spans="1:7" s="5" customFormat="1" ht="15.4">
      <c r="A109" s="69" t="s">
        <v>417</v>
      </c>
      <c r="B109" s="37" t="s">
        <v>418</v>
      </c>
      <c r="C109" s="40" t="s">
        <v>418</v>
      </c>
    </row>
    <row r="110" spans="1:7" s="5" customFormat="1" ht="15.4">
      <c r="A110" s="69" t="s">
        <v>419</v>
      </c>
      <c r="B110" s="37">
        <v>0.191</v>
      </c>
      <c r="C110" s="40">
        <v>0.28599999999999998</v>
      </c>
    </row>
    <row r="111" spans="1:7" s="5" customFormat="1" ht="18.399999999999999">
      <c r="A111" s="34" t="s">
        <v>420</v>
      </c>
      <c r="B111" s="37">
        <v>0.191</v>
      </c>
      <c r="C111" s="40">
        <v>0.28599999999999998</v>
      </c>
    </row>
    <row r="112" spans="1:7" s="5" customFormat="1" ht="15.4">
      <c r="A112" s="77" t="s">
        <v>421</v>
      </c>
      <c r="B112" s="77"/>
      <c r="C112" s="77"/>
    </row>
    <row r="113" spans="1:3" s="5" customFormat="1" ht="15.4">
      <c r="A113" s="69" t="s">
        <v>417</v>
      </c>
      <c r="B113" s="37">
        <v>1.1299999999999999E-2</v>
      </c>
      <c r="C113" s="40">
        <v>1.66E-2</v>
      </c>
    </row>
    <row r="114" spans="1:3" s="5" customFormat="1" ht="15.4">
      <c r="A114" s="69" t="s">
        <v>419</v>
      </c>
      <c r="B114" s="37">
        <v>0.191</v>
      </c>
      <c r="C114" s="40">
        <v>0.28599999999999998</v>
      </c>
    </row>
    <row r="115" spans="1:3" s="5" customFormat="1" ht="18.399999999999999">
      <c r="A115" s="70" t="s">
        <v>422</v>
      </c>
      <c r="B115" s="37">
        <v>0.20200000000000001</v>
      </c>
      <c r="C115" s="40">
        <v>0.30199999999999999</v>
      </c>
    </row>
    <row r="116" spans="1:3" s="5" customFormat="1" ht="15.4">
      <c r="A116" s="77" t="s">
        <v>423</v>
      </c>
      <c r="B116" s="77"/>
      <c r="C116" s="77"/>
    </row>
    <row r="117" spans="1:3" s="5" customFormat="1" ht="15.4">
      <c r="A117" s="69" t="s">
        <v>417</v>
      </c>
      <c r="B117" s="37">
        <v>5.7000000000000002E-3</v>
      </c>
      <c r="C117" s="40">
        <v>8.3000000000000001E-3</v>
      </c>
    </row>
    <row r="118" spans="1:3" s="5" customFormat="1" ht="15.4">
      <c r="A118" s="69" t="s">
        <v>419</v>
      </c>
      <c r="B118" s="37">
        <v>0.191</v>
      </c>
      <c r="C118" s="40">
        <v>0.28599999999999998</v>
      </c>
    </row>
    <row r="119" spans="1:3" s="5" customFormat="1" ht="18.399999999999999">
      <c r="A119" s="34" t="s">
        <v>424</v>
      </c>
      <c r="B119" s="37">
        <v>0.19600000000000001</v>
      </c>
      <c r="C119" s="40">
        <v>0.29399999999999998</v>
      </c>
    </row>
    <row r="120" spans="1:3" ht="18.399999999999999">
      <c r="A120" s="65" t="s">
        <v>425</v>
      </c>
    </row>
    <row r="121" spans="1:3" ht="15.4">
      <c r="A121" s="65" t="s">
        <v>426</v>
      </c>
    </row>
    <row r="122" spans="1:3" ht="15.4"/>
    <row r="123" spans="1:3" ht="15.4">
      <c r="A123" s="61" t="s">
        <v>427</v>
      </c>
    </row>
    <row r="124" spans="1:3" ht="18.399999999999999">
      <c r="A124" s="44" t="s">
        <v>288</v>
      </c>
      <c r="B124" s="44" t="s">
        <v>428</v>
      </c>
      <c r="C124" s="24" t="s">
        <v>413</v>
      </c>
    </row>
    <row r="125" spans="1:3" ht="30.75">
      <c r="A125" s="44"/>
      <c r="B125" s="44"/>
      <c r="C125" s="24" t="s">
        <v>429</v>
      </c>
    </row>
    <row r="126" spans="1:3" ht="15.4">
      <c r="A126" s="49" t="s">
        <v>430</v>
      </c>
      <c r="B126" s="71">
        <v>0.7</v>
      </c>
      <c r="C126" s="40">
        <v>0.86299999999999999</v>
      </c>
    </row>
    <row r="127" spans="1:3" ht="15.4">
      <c r="A127" s="49"/>
      <c r="B127" s="71">
        <v>0.75</v>
      </c>
      <c r="C127" s="40">
        <v>0.66300000000000003</v>
      </c>
    </row>
    <row r="128" spans="1:3" ht="15.4">
      <c r="A128" s="49"/>
      <c r="B128" s="71">
        <v>0.8</v>
      </c>
      <c r="C128" s="40">
        <v>0.5</v>
      </c>
    </row>
    <row r="129" spans="1:3" ht="15.4">
      <c r="A129" s="49" t="s">
        <v>431</v>
      </c>
      <c r="B129" s="71">
        <v>0.75</v>
      </c>
      <c r="C129" s="40">
        <v>0.66300000000000003</v>
      </c>
    </row>
    <row r="130" spans="1:3" ht="15.4">
      <c r="A130" s="49"/>
      <c r="B130" s="71">
        <v>0.8</v>
      </c>
      <c r="C130" s="40">
        <v>0.5</v>
      </c>
    </row>
    <row r="131" spans="1:3" ht="15.4">
      <c r="A131" s="49"/>
      <c r="B131" s="71">
        <v>0.85</v>
      </c>
      <c r="C131" s="40">
        <v>0.35</v>
      </c>
    </row>
    <row r="132" spans="1:3" ht="18.399999999999999">
      <c r="A132" s="65" t="s">
        <v>432</v>
      </c>
    </row>
    <row r="133" spans="1:3" ht="15.4">
      <c r="A133" s="65" t="s">
        <v>433</v>
      </c>
    </row>
    <row r="134" spans="1:3" ht="15.4"/>
    <row r="135" spans="1:3" ht="15.4">
      <c r="A135" s="61" t="s">
        <v>434</v>
      </c>
    </row>
    <row r="136" spans="1:3" ht="18.399999999999999">
      <c r="A136" s="44" t="s">
        <v>288</v>
      </c>
      <c r="B136" s="24" t="s">
        <v>413</v>
      </c>
    </row>
    <row r="137" spans="1:3" ht="30.75">
      <c r="A137" s="44"/>
      <c r="B137" s="24" t="s">
        <v>435</v>
      </c>
    </row>
    <row r="138" spans="1:3" ht="30.75">
      <c r="A138" s="42" t="s">
        <v>436</v>
      </c>
      <c r="B138" s="40">
        <v>1</v>
      </c>
    </row>
    <row r="139" spans="1:3" ht="30.75">
      <c r="A139" s="42" t="s">
        <v>437</v>
      </c>
      <c r="B139" s="40">
        <v>0.83</v>
      </c>
    </row>
    <row r="140" spans="1:3" ht="46.15">
      <c r="A140" s="42" t="s">
        <v>438</v>
      </c>
      <c r="B140" s="40">
        <v>0.79</v>
      </c>
    </row>
    <row r="141" spans="1:3" ht="18.399999999999999">
      <c r="A141" s="65" t="s">
        <v>439</v>
      </c>
    </row>
    <row r="142" spans="1:3" ht="15.4">
      <c r="A142" s="65" t="s">
        <v>440</v>
      </c>
    </row>
    <row r="143" spans="1:3" ht="15.4"/>
    <row r="144" spans="1:3" ht="15.4">
      <c r="A144" s="61" t="s">
        <v>441</v>
      </c>
    </row>
    <row r="145" spans="1:4" ht="18" customHeight="1">
      <c r="A145" s="44" t="s">
        <v>442</v>
      </c>
      <c r="B145" s="44"/>
      <c r="C145" s="44"/>
      <c r="D145" s="44"/>
    </row>
    <row r="146" spans="1:4" ht="18.399999999999999">
      <c r="A146" s="44" t="s">
        <v>288</v>
      </c>
      <c r="B146" s="24" t="s">
        <v>443</v>
      </c>
      <c r="C146" s="24" t="s">
        <v>444</v>
      </c>
      <c r="D146" s="24" t="s">
        <v>445</v>
      </c>
    </row>
    <row r="147" spans="1:4" ht="15.4">
      <c r="A147" s="44"/>
      <c r="B147" s="24" t="s">
        <v>446</v>
      </c>
      <c r="C147" s="24" t="s">
        <v>446</v>
      </c>
      <c r="D147" s="24" t="s">
        <v>446</v>
      </c>
    </row>
    <row r="148" spans="1:4" ht="15.4">
      <c r="A148" s="40" t="s">
        <v>447</v>
      </c>
      <c r="B148" s="40">
        <v>1.96</v>
      </c>
      <c r="C148" s="40">
        <v>0.66</v>
      </c>
      <c r="D148" s="40">
        <v>2.62</v>
      </c>
    </row>
    <row r="149" spans="1:4" ht="15.4">
      <c r="A149" s="40" t="s">
        <v>448</v>
      </c>
      <c r="B149" s="40">
        <v>4.59</v>
      </c>
      <c r="C149" s="40">
        <v>0.66</v>
      </c>
      <c r="D149" s="40">
        <v>5.25</v>
      </c>
    </row>
    <row r="150" spans="1:4" ht="15.4">
      <c r="A150" s="40" t="s">
        <v>449</v>
      </c>
      <c r="B150" s="40">
        <v>0.12</v>
      </c>
      <c r="C150" s="40">
        <v>0.66</v>
      </c>
      <c r="D150" s="40">
        <v>0.78</v>
      </c>
    </row>
    <row r="151" spans="1:4" ht="18.399999999999999">
      <c r="A151" s="65" t="s">
        <v>450</v>
      </c>
    </row>
    <row r="152" spans="1:4" ht="15.4">
      <c r="A152" s="65" t="s">
        <v>451</v>
      </c>
    </row>
    <row r="153" spans="1:4" ht="15.4"/>
    <row r="154" spans="1:4" ht="15.4">
      <c r="A154" s="61" t="s">
        <v>452</v>
      </c>
    </row>
    <row r="155" spans="1:4" ht="15.4">
      <c r="A155" s="76" t="s">
        <v>453</v>
      </c>
      <c r="B155" s="68" t="s">
        <v>454</v>
      </c>
    </row>
    <row r="156" spans="1:4" ht="15.4">
      <c r="A156" s="76"/>
      <c r="B156" s="68" t="s">
        <v>455</v>
      </c>
    </row>
    <row r="157" spans="1:4" ht="46.15">
      <c r="A157" s="40" t="s">
        <v>456</v>
      </c>
      <c r="B157" s="40">
        <v>0.04</v>
      </c>
    </row>
    <row r="158" spans="1:4" ht="46.15">
      <c r="A158" s="40" t="s">
        <v>457</v>
      </c>
      <c r="B158" s="40">
        <v>0.03</v>
      </c>
    </row>
    <row r="159" spans="1:4" ht="30.75">
      <c r="A159" s="40" t="s">
        <v>458</v>
      </c>
      <c r="B159" s="40">
        <v>0.02</v>
      </c>
    </row>
    <row r="160" spans="1:4" ht="15.4">
      <c r="A160" s="65" t="s">
        <v>459</v>
      </c>
    </row>
  </sheetData>
  <mergeCells count="21">
    <mergeCell ref="A145:D145"/>
    <mergeCell ref="A146:A147"/>
    <mergeCell ref="A155:A156"/>
    <mergeCell ref="A116:C116"/>
    <mergeCell ref="A124:A125"/>
    <mergeCell ref="B124:B125"/>
    <mergeCell ref="A126:A128"/>
    <mergeCell ref="A129:A131"/>
    <mergeCell ref="A136:A137"/>
    <mergeCell ref="C21:D21"/>
    <mergeCell ref="B82:F82"/>
    <mergeCell ref="A97:G97"/>
    <mergeCell ref="A106:A107"/>
    <mergeCell ref="A108:C108"/>
    <mergeCell ref="A112:C112"/>
    <mergeCell ref="A4:E4"/>
    <mergeCell ref="A9:E9"/>
    <mergeCell ref="A15:A16"/>
    <mergeCell ref="C15:D15"/>
    <mergeCell ref="C17:D17"/>
    <mergeCell ref="C19:D19"/>
  </mergeCells>
  <phoneticPr fontId="9" type="noConversion"/>
  <pageMargins left="0.70000000000000007" right="0.70000000000000007" top="0.75" bottom="0.75" header="0.30000000000000004" footer="0.3000000000000000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9"/>
  <sheetViews>
    <sheetView workbookViewId="0"/>
  </sheetViews>
  <sheetFormatPr defaultColWidth="8.53125" defaultRowHeight="15.6"/>
  <cols>
    <col min="1" max="1" width="72.73046875" style="5" customWidth="1"/>
    <col min="2" max="2" width="17.59765625" style="5" customWidth="1"/>
    <col min="3" max="4" width="19.9296875" style="5" customWidth="1"/>
    <col min="5" max="5" width="8.53125" style="5" customWidth="1"/>
    <col min="6" max="16384" width="8.53125" style="5"/>
  </cols>
  <sheetData>
    <row r="1" spans="1:2" ht="15.4">
      <c r="A1" s="78" t="s">
        <v>18</v>
      </c>
    </row>
    <row r="2" spans="1:2" ht="15.4">
      <c r="A2" s="78" t="s">
        <v>460</v>
      </c>
    </row>
    <row r="3" spans="1:2" ht="15.4">
      <c r="A3" s="78" t="s">
        <v>461</v>
      </c>
    </row>
    <row r="4" spans="1:2" ht="18.399999999999999">
      <c r="A4" s="24" t="s">
        <v>462</v>
      </c>
      <c r="B4" s="24" t="s">
        <v>413</v>
      </c>
    </row>
    <row r="5" spans="1:2" ht="15.4">
      <c r="A5" s="48" t="s">
        <v>463</v>
      </c>
      <c r="B5" s="48"/>
    </row>
    <row r="6" spans="1:2" ht="52.15">
      <c r="A6" s="70" t="s">
        <v>464</v>
      </c>
      <c r="B6" s="40">
        <v>0.51</v>
      </c>
    </row>
    <row r="7" spans="1:2" ht="52.15">
      <c r="A7" s="70" t="s">
        <v>465</v>
      </c>
      <c r="B7" s="40">
        <v>1.23</v>
      </c>
    </row>
    <row r="8" spans="1:2" ht="15.4">
      <c r="A8" s="48" t="s">
        <v>466</v>
      </c>
      <c r="B8" s="48"/>
    </row>
    <row r="9" spans="1:2" ht="36.75">
      <c r="A9" s="70" t="s">
        <v>467</v>
      </c>
      <c r="B9" s="40">
        <v>0.21</v>
      </c>
    </row>
    <row r="10" spans="1:2" ht="36.75">
      <c r="A10" s="70" t="s">
        <v>468</v>
      </c>
      <c r="B10" s="40">
        <v>0.19</v>
      </c>
    </row>
    <row r="11" spans="1:2" ht="15.4">
      <c r="A11" s="48" t="s">
        <v>469</v>
      </c>
      <c r="B11" s="48"/>
    </row>
    <row r="12" spans="1:2" ht="36.75">
      <c r="A12" s="70" t="s">
        <v>470</v>
      </c>
      <c r="B12" s="40">
        <v>1.43</v>
      </c>
    </row>
    <row r="13" spans="1:2" ht="36.75">
      <c r="A13" s="70" t="s">
        <v>471</v>
      </c>
      <c r="B13" s="40">
        <v>0.7</v>
      </c>
    </row>
    <row r="14" spans="1:2" ht="15.4">
      <c r="A14" s="48" t="s">
        <v>472</v>
      </c>
      <c r="B14" s="48"/>
    </row>
    <row r="15" spans="1:2" ht="37.15">
      <c r="A15" s="70" t="s">
        <v>473</v>
      </c>
      <c r="B15" s="40">
        <v>0.18</v>
      </c>
    </row>
    <row r="16" spans="1:2" ht="37.15">
      <c r="A16" s="70" t="s">
        <v>474</v>
      </c>
      <c r="B16" s="40">
        <v>1.58</v>
      </c>
    </row>
    <row r="17" spans="1:2" ht="37.15">
      <c r="A17" s="70" t="s">
        <v>475</v>
      </c>
      <c r="B17" s="40">
        <v>1.72</v>
      </c>
    </row>
    <row r="18" spans="1:2" ht="15.4">
      <c r="A18" s="5" t="s">
        <v>476</v>
      </c>
    </row>
    <row r="19" spans="1:2" ht="15.4">
      <c r="A19" s="5" t="s">
        <v>477</v>
      </c>
    </row>
    <row r="20" spans="1:2" ht="15.4">
      <c r="A20" s="5" t="s">
        <v>478</v>
      </c>
    </row>
    <row r="21" spans="1:2" ht="15.4"/>
    <row r="22" spans="1:2" ht="15.4">
      <c r="A22" s="78" t="s">
        <v>479</v>
      </c>
    </row>
    <row r="23" spans="1:2" ht="32.25">
      <c r="A23" s="79" t="s">
        <v>480</v>
      </c>
      <c r="B23" s="80" t="s">
        <v>481</v>
      </c>
    </row>
    <row r="24" spans="1:2" ht="36.75">
      <c r="A24" s="81" t="s">
        <v>482</v>
      </c>
      <c r="B24" s="82">
        <v>8.8999999999999996E-2</v>
      </c>
    </row>
    <row r="25" spans="1:2" ht="36.75">
      <c r="A25" s="81" t="s">
        <v>483</v>
      </c>
      <c r="B25" s="82">
        <v>7.0000000000000007E-2</v>
      </c>
    </row>
    <row r="26" spans="1:2" ht="36.75">
      <c r="A26" s="81" t="s">
        <v>484</v>
      </c>
      <c r="B26" s="82">
        <v>1</v>
      </c>
    </row>
    <row r="27" spans="1:2" ht="15.4">
      <c r="A27" s="5" t="s">
        <v>485</v>
      </c>
    </row>
    <row r="28" spans="1:2" ht="15.4"/>
    <row r="29" spans="1:2" ht="15.4">
      <c r="A29" s="78" t="s">
        <v>486</v>
      </c>
    </row>
    <row r="30" spans="1:2" ht="30.75">
      <c r="A30" s="24" t="s">
        <v>487</v>
      </c>
      <c r="B30" s="24" t="s">
        <v>488</v>
      </c>
    </row>
    <row r="31" spans="1:2" ht="36.75">
      <c r="A31" s="42" t="s">
        <v>489</v>
      </c>
      <c r="B31" s="40" t="s">
        <v>490</v>
      </c>
    </row>
    <row r="32" spans="1:2" ht="36.75">
      <c r="A32" s="42" t="s">
        <v>491</v>
      </c>
      <c r="B32" s="40" t="s">
        <v>492</v>
      </c>
    </row>
    <row r="33" spans="1:2" ht="36.75">
      <c r="A33" s="42" t="s">
        <v>493</v>
      </c>
      <c r="B33" s="40" t="s">
        <v>494</v>
      </c>
    </row>
    <row r="34" spans="1:2" ht="36.75">
      <c r="A34" s="42" t="s">
        <v>495</v>
      </c>
      <c r="B34" s="40" t="s">
        <v>496</v>
      </c>
    </row>
    <row r="35" spans="1:2" ht="15.4">
      <c r="A35" s="5" t="s">
        <v>497</v>
      </c>
    </row>
    <row r="36" spans="1:2" ht="15.4"/>
    <row r="37" spans="1:2" ht="15.4">
      <c r="A37" s="78" t="s">
        <v>498</v>
      </c>
    </row>
    <row r="38" spans="1:2" ht="49.15">
      <c r="A38" s="24" t="s">
        <v>499</v>
      </c>
      <c r="B38" s="24" t="s">
        <v>500</v>
      </c>
    </row>
    <row r="39" spans="1:2" ht="30.75">
      <c r="A39" s="39" t="s">
        <v>501</v>
      </c>
      <c r="B39" s="40">
        <v>2.5</v>
      </c>
    </row>
    <row r="40" spans="1:2" ht="30.75">
      <c r="A40" s="39" t="s">
        <v>502</v>
      </c>
      <c r="B40" s="40">
        <v>3.6</v>
      </c>
    </row>
    <row r="41" spans="1:2" ht="30.75">
      <c r="A41" s="39" t="s">
        <v>503</v>
      </c>
      <c r="B41" s="40">
        <v>4</v>
      </c>
    </row>
    <row r="42" spans="1:2" ht="30.75">
      <c r="A42" s="39" t="s">
        <v>504</v>
      </c>
      <c r="B42" s="40">
        <v>4.8</v>
      </c>
    </row>
    <row r="43" spans="1:2" ht="30.75">
      <c r="A43" s="39" t="s">
        <v>505</v>
      </c>
      <c r="B43" s="40">
        <v>1.3</v>
      </c>
    </row>
    <row r="44" spans="1:2" ht="30.75">
      <c r="A44" s="39" t="s">
        <v>506</v>
      </c>
      <c r="B44" s="40">
        <v>1.5</v>
      </c>
    </row>
    <row r="45" spans="1:2" ht="15.4">
      <c r="A45" s="39" t="s">
        <v>507</v>
      </c>
      <c r="B45" s="40">
        <v>1.4</v>
      </c>
    </row>
    <row r="46" spans="1:2" ht="15.4">
      <c r="A46" s="39" t="s">
        <v>508</v>
      </c>
      <c r="B46" s="40">
        <v>5</v>
      </c>
    </row>
    <row r="47" spans="1:2" ht="30.75">
      <c r="A47" s="39" t="s">
        <v>509</v>
      </c>
      <c r="B47" s="40" t="s">
        <v>510</v>
      </c>
    </row>
    <row r="48" spans="1:2" ht="15.4">
      <c r="A48" s="5" t="s">
        <v>511</v>
      </c>
    </row>
    <row r="49" spans="1:2" ht="15.4"/>
    <row r="50" spans="1:2" ht="49.15">
      <c r="A50" s="24" t="s">
        <v>512</v>
      </c>
      <c r="B50" s="24" t="s">
        <v>513</v>
      </c>
    </row>
    <row r="51" spans="1:2" ht="30.75">
      <c r="A51" s="42" t="s">
        <v>514</v>
      </c>
      <c r="B51" s="40">
        <v>3.1</v>
      </c>
    </row>
    <row r="52" spans="1:2" ht="30.75">
      <c r="A52" s="42" t="s">
        <v>515</v>
      </c>
      <c r="B52" s="40" t="s">
        <v>516</v>
      </c>
    </row>
    <row r="53" spans="1:2" ht="30.75">
      <c r="A53" s="42" t="s">
        <v>517</v>
      </c>
      <c r="B53" s="40" t="s">
        <v>518</v>
      </c>
    </row>
    <row r="54" spans="1:2" ht="15.4">
      <c r="A54" s="42" t="s">
        <v>519</v>
      </c>
      <c r="B54" s="40">
        <v>3.54</v>
      </c>
    </row>
    <row r="55" spans="1:2" ht="15.4">
      <c r="A55" s="42" t="s">
        <v>520</v>
      </c>
      <c r="B55" s="40">
        <v>3.4</v>
      </c>
    </row>
    <row r="56" spans="1:2" ht="15.4">
      <c r="A56" s="42" t="s">
        <v>521</v>
      </c>
      <c r="B56" s="40">
        <v>3.5</v>
      </c>
    </row>
    <row r="57" spans="1:2" ht="15.4">
      <c r="A57" s="5" t="s">
        <v>522</v>
      </c>
    </row>
    <row r="58" spans="1:2" ht="15.4"/>
    <row r="59" spans="1:2" ht="33.75">
      <c r="A59" s="24" t="s">
        <v>523</v>
      </c>
      <c r="B59" s="24" t="s">
        <v>524</v>
      </c>
    </row>
    <row r="60" spans="1:2" ht="15.4">
      <c r="A60" s="42" t="s">
        <v>525</v>
      </c>
      <c r="B60" s="40">
        <v>1.2</v>
      </c>
    </row>
    <row r="61" spans="1:2" ht="15.4">
      <c r="A61" s="39" t="s">
        <v>526</v>
      </c>
      <c r="B61" s="40">
        <v>1.1000000000000001</v>
      </c>
    </row>
    <row r="62" spans="1:2" ht="15.4">
      <c r="A62" s="42" t="s">
        <v>527</v>
      </c>
      <c r="B62" s="40">
        <v>1</v>
      </c>
    </row>
    <row r="63" spans="1:2" ht="15.4">
      <c r="A63" s="42" t="s">
        <v>528</v>
      </c>
      <c r="B63" s="40">
        <v>1</v>
      </c>
    </row>
    <row r="64" spans="1:2" ht="15.4">
      <c r="A64" s="5" t="s">
        <v>529</v>
      </c>
    </row>
    <row r="65" spans="1:4" ht="15.4"/>
    <row r="66" spans="1:4" ht="15.4">
      <c r="A66" s="78" t="s">
        <v>530</v>
      </c>
    </row>
    <row r="67" spans="1:4" ht="49.15">
      <c r="A67" s="24" t="s">
        <v>531</v>
      </c>
      <c r="B67" s="24" t="s">
        <v>532</v>
      </c>
    </row>
    <row r="68" spans="1:4" ht="15.4">
      <c r="A68" s="42" t="s">
        <v>533</v>
      </c>
      <c r="B68" s="40">
        <v>5.13</v>
      </c>
    </row>
    <row r="69" spans="1:4" ht="15.4">
      <c r="A69" s="42" t="s">
        <v>534</v>
      </c>
      <c r="B69" s="40">
        <v>2.83</v>
      </c>
    </row>
    <row r="70" spans="1:4" ht="15.4">
      <c r="A70" s="5" t="s">
        <v>535</v>
      </c>
    </row>
    <row r="71" spans="1:4" ht="15.4"/>
    <row r="72" spans="1:4" ht="33.75">
      <c r="A72" s="24" t="s">
        <v>536</v>
      </c>
      <c r="B72" s="24" t="s">
        <v>537</v>
      </c>
    </row>
    <row r="73" spans="1:4" ht="30.75">
      <c r="A73" s="42" t="s">
        <v>538</v>
      </c>
      <c r="B73" s="40">
        <v>1</v>
      </c>
    </row>
    <row r="74" spans="1:4" ht="15.4">
      <c r="A74" s="5" t="s">
        <v>539</v>
      </c>
    </row>
    <row r="75" spans="1:4" ht="15.4"/>
    <row r="76" spans="1:4" ht="15.4">
      <c r="A76" s="78" t="s">
        <v>540</v>
      </c>
    </row>
    <row r="77" spans="1:4" ht="18" customHeight="1">
      <c r="A77" s="44" t="s">
        <v>541</v>
      </c>
      <c r="B77" s="44"/>
      <c r="C77" s="44"/>
      <c r="D77" s="44"/>
    </row>
    <row r="78" spans="1:4" ht="15.4">
      <c r="A78" s="52" t="s">
        <v>542</v>
      </c>
      <c r="B78" s="52" t="s">
        <v>543</v>
      </c>
      <c r="C78" s="52" t="s">
        <v>544</v>
      </c>
      <c r="D78" s="52" t="s">
        <v>545</v>
      </c>
    </row>
    <row r="79" spans="1:4" ht="46.15">
      <c r="A79" s="52" t="s">
        <v>546</v>
      </c>
      <c r="B79" s="52" t="s">
        <v>547</v>
      </c>
      <c r="C79" s="52" t="s">
        <v>548</v>
      </c>
      <c r="D79" s="52" t="s">
        <v>549</v>
      </c>
    </row>
    <row r="80" spans="1:4" ht="15.4">
      <c r="A80" s="40">
        <v>0.59</v>
      </c>
      <c r="B80" s="40">
        <v>0.25</v>
      </c>
      <c r="C80" s="40">
        <v>0.2</v>
      </c>
      <c r="D80" s="40">
        <v>0.52</v>
      </c>
    </row>
    <row r="81" spans="1:4" ht="15.4">
      <c r="A81" s="5" t="s">
        <v>550</v>
      </c>
    </row>
    <row r="82" spans="1:4" ht="15.4"/>
    <row r="83" spans="1:4" ht="15.4">
      <c r="A83" s="78" t="s">
        <v>551</v>
      </c>
    </row>
    <row r="84" spans="1:4" ht="33.75">
      <c r="A84" s="24" t="s">
        <v>536</v>
      </c>
      <c r="B84" s="24" t="s">
        <v>552</v>
      </c>
    </row>
    <row r="85" spans="1:4" ht="15.4">
      <c r="A85" s="42" t="s">
        <v>553</v>
      </c>
      <c r="B85" s="40">
        <v>3.66</v>
      </c>
    </row>
    <row r="86" spans="1:4" ht="30.75">
      <c r="A86" s="42" t="s">
        <v>554</v>
      </c>
      <c r="B86" s="40">
        <v>0.43</v>
      </c>
    </row>
    <row r="87" spans="1:4" ht="32.65">
      <c r="A87" s="42" t="s">
        <v>555</v>
      </c>
      <c r="B87" s="40">
        <v>1.72</v>
      </c>
    </row>
    <row r="88" spans="1:4" ht="15.4">
      <c r="A88" s="5" t="s">
        <v>556</v>
      </c>
    </row>
    <row r="89" spans="1:4" ht="15.4">
      <c r="A89" s="5" t="s">
        <v>557</v>
      </c>
    </row>
    <row r="90" spans="1:4" ht="15.4"/>
    <row r="91" spans="1:4" ht="15.4">
      <c r="A91" s="78" t="s">
        <v>558</v>
      </c>
    </row>
    <row r="92" spans="1:4" ht="49.15">
      <c r="A92" s="24" t="s">
        <v>559</v>
      </c>
      <c r="B92" s="24" t="s">
        <v>560</v>
      </c>
    </row>
    <row r="93" spans="1:4" ht="30.75">
      <c r="A93" s="42" t="s">
        <v>561</v>
      </c>
      <c r="B93" s="40">
        <v>0.56000000000000005</v>
      </c>
    </row>
    <row r="94" spans="1:4" ht="15.4">
      <c r="A94" s="5" t="s">
        <v>562</v>
      </c>
    </row>
    <row r="95" spans="1:4" ht="15.4"/>
    <row r="96" spans="1:4" ht="52.15">
      <c r="A96" s="24" t="s">
        <v>563</v>
      </c>
      <c r="B96" s="24" t="s">
        <v>564</v>
      </c>
      <c r="C96" s="24" t="s">
        <v>565</v>
      </c>
      <c r="D96" s="24" t="s">
        <v>566</v>
      </c>
    </row>
    <row r="97" spans="1:4" ht="30.75">
      <c r="A97" s="42" t="s">
        <v>567</v>
      </c>
      <c r="B97" s="40">
        <v>146.1</v>
      </c>
      <c r="C97" s="40">
        <v>14.6</v>
      </c>
      <c r="D97" s="40">
        <v>0.05</v>
      </c>
    </row>
    <row r="98" spans="1:4" ht="30.75">
      <c r="A98" s="42" t="s">
        <v>568</v>
      </c>
      <c r="B98" s="40">
        <v>35.799999999999997</v>
      </c>
      <c r="C98" s="40">
        <v>5.2</v>
      </c>
      <c r="D98" s="40">
        <v>0.21</v>
      </c>
    </row>
    <row r="99" spans="1:4" ht="15.4">
      <c r="A99" s="5" t="s">
        <v>569</v>
      </c>
    </row>
  </sheetData>
  <mergeCells count="5">
    <mergeCell ref="A5:B5"/>
    <mergeCell ref="A8:B8"/>
    <mergeCell ref="A11:B11"/>
    <mergeCell ref="A14:B14"/>
    <mergeCell ref="A77:D77"/>
  </mergeCells>
  <phoneticPr fontId="9" type="noConversion"/>
  <pageMargins left="0.70000000000000007" right="0.70000000000000007" top="0.75" bottom="0.75" header="0.30000000000000004" footer="0.3000000000000000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heetViews>
  <sheetFormatPr defaultColWidth="8.53125" defaultRowHeight="15.6"/>
  <cols>
    <col min="1" max="1" width="8.53125" style="5" customWidth="1"/>
    <col min="2" max="16384" width="8.53125" style="5"/>
  </cols>
  <sheetData>
    <row r="1" spans="1:1" ht="15.4">
      <c r="A1" s="78" t="s">
        <v>20</v>
      </c>
    </row>
    <row r="2" spans="1:1" ht="15.4">
      <c r="A2" s="78" t="s">
        <v>570</v>
      </c>
    </row>
    <row r="3" spans="1:1" ht="15.4">
      <c r="A3" s="5" t="s">
        <v>571</v>
      </c>
    </row>
    <row r="4" spans="1:1" ht="15.4">
      <c r="A4" s="5" t="s">
        <v>572</v>
      </c>
    </row>
    <row r="6" spans="1:1" ht="15.4">
      <c r="A6" s="78" t="s">
        <v>573</v>
      </c>
    </row>
    <row r="7" spans="1:1" ht="15.4">
      <c r="A7" s="5" t="s">
        <v>571</v>
      </c>
    </row>
    <row r="8" spans="1:1" ht="15.4">
      <c r="A8" s="5" t="s">
        <v>574</v>
      </c>
    </row>
  </sheetData>
  <phoneticPr fontId="9" type="noConversion"/>
  <pageMargins left="0.70000000000000007" right="0.70000000000000007" top="0.75" bottom="0.75" header="0.30000000000000004" footer="0.3000000000000000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232"/>
  <sheetViews>
    <sheetView workbookViewId="0"/>
  </sheetViews>
  <sheetFormatPr defaultColWidth="8.53125" defaultRowHeight="15.6"/>
  <cols>
    <col min="1" max="2" width="8.53125" style="5" customWidth="1"/>
    <col min="3" max="3" width="29.53125" style="5" customWidth="1"/>
    <col min="4" max="5" width="8.6640625" style="5" bestFit="1" customWidth="1"/>
    <col min="6" max="6" width="10.1328125" style="5" bestFit="1" customWidth="1"/>
    <col min="7" max="7" width="9.06640625" style="5" bestFit="1" customWidth="1"/>
    <col min="8" max="8" width="8.9296875" style="5" bestFit="1" customWidth="1"/>
    <col min="9" max="9" width="10" style="5" bestFit="1" customWidth="1"/>
    <col min="10" max="10" width="9.06640625" style="5" bestFit="1" customWidth="1"/>
    <col min="11" max="11" width="9.3984375" style="5" bestFit="1" customWidth="1"/>
    <col min="12" max="14" width="9.06640625" style="5" bestFit="1" customWidth="1"/>
    <col min="15" max="17" width="8.6640625" style="5" bestFit="1" customWidth="1"/>
    <col min="18" max="18" width="10.1328125" style="5" bestFit="1" customWidth="1"/>
    <col min="19" max="20" width="8.6640625" style="5" bestFit="1" customWidth="1"/>
    <col min="21" max="21" width="8.53125" style="5" customWidth="1"/>
    <col min="22" max="16384" width="8.53125" style="5"/>
  </cols>
  <sheetData>
    <row r="1" spans="1:3" ht="15.4">
      <c r="A1" s="78" t="s">
        <v>22</v>
      </c>
    </row>
    <row r="2" spans="1:3" ht="15.4">
      <c r="A2" s="78" t="s">
        <v>575</v>
      </c>
    </row>
    <row r="3" spans="1:3" ht="15.4">
      <c r="B3" s="78" t="s">
        <v>576</v>
      </c>
    </row>
    <row r="4" spans="1:3" ht="15.4">
      <c r="C4" s="5" t="s">
        <v>577</v>
      </c>
    </row>
    <row r="5" spans="1:3" ht="15.4"/>
    <row r="6" spans="1:3" ht="15.4">
      <c r="C6" s="5" t="s">
        <v>578</v>
      </c>
    </row>
    <row r="7" spans="1:3" ht="15.4"/>
    <row r="8" spans="1:3" ht="15.4">
      <c r="C8" s="83" t="s">
        <v>579</v>
      </c>
    </row>
    <row r="9" spans="1:3" ht="15.4"/>
    <row r="10" spans="1:3" ht="15.4"/>
    <row r="11" spans="1:3" ht="18.399999999999999">
      <c r="C11" s="5" t="s">
        <v>580</v>
      </c>
    </row>
    <row r="12" spans="1:3" ht="15.4"/>
    <row r="13" spans="1:3" ht="15.4"/>
    <row r="14" spans="1:3" ht="18.399999999999999">
      <c r="C14" s="5" t="s">
        <v>581</v>
      </c>
    </row>
    <row r="15" spans="1:3" ht="15.4">
      <c r="C15" s="5" t="s">
        <v>582</v>
      </c>
    </row>
    <row r="16" spans="1:3" ht="15.4">
      <c r="C16" s="5" t="s">
        <v>583</v>
      </c>
    </row>
    <row r="17" spans="3:3" ht="15.4"/>
    <row r="18" spans="3:3" ht="15.4">
      <c r="C18" s="5" t="s">
        <v>584</v>
      </c>
    </row>
    <row r="19" spans="3:3" ht="15.4"/>
    <row r="20" spans="3:3" ht="15.4"/>
    <row r="21" spans="3:3" ht="15.4">
      <c r="C21" s="5" t="s">
        <v>585</v>
      </c>
    </row>
    <row r="22" spans="3:3" ht="15.4"/>
    <row r="23" spans="3:3" ht="15.4">
      <c r="C23" s="5" t="s">
        <v>586</v>
      </c>
    </row>
    <row r="24" spans="3:3" ht="15.4"/>
    <row r="25" spans="3:3" ht="15.4"/>
    <row r="26" spans="3:3" ht="18.399999999999999">
      <c r="C26" s="5" t="s">
        <v>587</v>
      </c>
    </row>
    <row r="27" spans="3:3" ht="15.4">
      <c r="C27" s="5" t="s">
        <v>588</v>
      </c>
    </row>
    <row r="28" spans="3:3" ht="15.4"/>
    <row r="29" spans="3:3" ht="18.399999999999999">
      <c r="C29" s="5" t="s">
        <v>589</v>
      </c>
    </row>
    <row r="30" spans="3:3" ht="15.4"/>
    <row r="31" spans="3:3" ht="18.399999999999999">
      <c r="C31" s="5" t="s">
        <v>590</v>
      </c>
    </row>
    <row r="32" spans="3:3" ht="15.4">
      <c r="C32" s="5" t="s">
        <v>591</v>
      </c>
    </row>
    <row r="33" spans="3:22" ht="15.4"/>
    <row r="34" spans="3:22" ht="15.4">
      <c r="C34" s="78" t="s">
        <v>592</v>
      </c>
    </row>
    <row r="35" spans="3:22" ht="28.5">
      <c r="C35" s="84" t="s">
        <v>593</v>
      </c>
      <c r="D35" s="85" t="s">
        <v>594</v>
      </c>
      <c r="E35" s="85" t="s">
        <v>595</v>
      </c>
      <c r="F35" s="85" t="s">
        <v>596</v>
      </c>
      <c r="G35" s="86" t="s">
        <v>597</v>
      </c>
      <c r="H35" s="85" t="s">
        <v>598</v>
      </c>
      <c r="I35" s="85" t="s">
        <v>599</v>
      </c>
      <c r="J35" s="87" t="s">
        <v>600</v>
      </c>
      <c r="K35" s="85" t="s">
        <v>601</v>
      </c>
      <c r="L35" s="86" t="s">
        <v>602</v>
      </c>
      <c r="M35" s="86" t="s">
        <v>603</v>
      </c>
      <c r="N35" s="86" t="s">
        <v>604</v>
      </c>
      <c r="O35" s="87" t="s">
        <v>605</v>
      </c>
      <c r="P35" s="86" t="s">
        <v>606</v>
      </c>
      <c r="Q35" s="86" t="s">
        <v>607</v>
      </c>
      <c r="R35" s="86" t="s">
        <v>608</v>
      </c>
      <c r="S35" s="87" t="s">
        <v>609</v>
      </c>
      <c r="T35" s="87" t="s">
        <v>610</v>
      </c>
      <c r="U35" s="87" t="s">
        <v>611</v>
      </c>
      <c r="V35" s="85" t="s">
        <v>612</v>
      </c>
    </row>
    <row r="36" spans="3:22" ht="15.4">
      <c r="C36" s="40" t="s">
        <v>613</v>
      </c>
      <c r="D36" s="88">
        <v>0.73</v>
      </c>
      <c r="E36" s="88">
        <v>0.55000000000000004</v>
      </c>
      <c r="F36" s="88">
        <v>0.4</v>
      </c>
      <c r="G36" s="88">
        <v>6.3E-2</v>
      </c>
      <c r="H36" s="88">
        <v>0.15</v>
      </c>
      <c r="I36" s="88">
        <v>0.13</v>
      </c>
      <c r="J36" s="88">
        <v>0.14000000000000001</v>
      </c>
      <c r="K36" s="88">
        <v>8.5999999999999993E-2</v>
      </c>
      <c r="L36" s="88">
        <v>0.46</v>
      </c>
      <c r="M36" s="88">
        <v>0.2</v>
      </c>
      <c r="N36" s="88">
        <v>0.34</v>
      </c>
      <c r="O36" s="88">
        <v>6.4000000000000001E-2</v>
      </c>
      <c r="P36" s="88">
        <v>0.02</v>
      </c>
      <c r="Q36" s="88">
        <v>0.18</v>
      </c>
      <c r="R36" s="88">
        <v>0.55000000000000004</v>
      </c>
      <c r="S36" s="88">
        <v>0.78</v>
      </c>
      <c r="T36" s="88">
        <v>1</v>
      </c>
      <c r="U36" s="88" t="s">
        <v>614</v>
      </c>
      <c r="V36" s="88" t="s">
        <v>614</v>
      </c>
    </row>
    <row r="37" spans="3:22" ht="18.399999999999999">
      <c r="C37" s="40" t="s">
        <v>615</v>
      </c>
      <c r="D37" s="88" t="s">
        <v>198</v>
      </c>
      <c r="E37" s="88">
        <v>0.19</v>
      </c>
      <c r="F37" s="88">
        <v>0.2</v>
      </c>
      <c r="G37" s="88" t="s">
        <v>198</v>
      </c>
      <c r="H37" s="88">
        <v>0.06</v>
      </c>
      <c r="I37" s="88">
        <v>9.9000000000000005E-2</v>
      </c>
      <c r="J37" s="88">
        <v>0.13</v>
      </c>
      <c r="K37" s="88">
        <v>5.2999999999999999E-2</v>
      </c>
      <c r="L37" s="88">
        <v>8.1000000000000003E-2</v>
      </c>
      <c r="M37" s="88">
        <v>6.0999999999999999E-2</v>
      </c>
      <c r="N37" s="88">
        <v>2.9000000000000001E-2</v>
      </c>
      <c r="O37" s="88">
        <v>7.6999999999999999E-2</v>
      </c>
      <c r="P37" s="88">
        <v>3.4000000000000002E-2</v>
      </c>
      <c r="Q37" s="88">
        <v>6.7000000000000004E-2</v>
      </c>
      <c r="R37" s="88">
        <v>0.12</v>
      </c>
      <c r="S37" s="88" t="s">
        <v>198</v>
      </c>
      <c r="T37" s="88" t="s">
        <v>198</v>
      </c>
      <c r="U37" s="88" t="s">
        <v>614</v>
      </c>
      <c r="V37" s="88" t="s">
        <v>614</v>
      </c>
    </row>
    <row r="38" spans="3:22" ht="18.399999999999999">
      <c r="C38" s="40" t="s">
        <v>616</v>
      </c>
      <c r="D38" s="88">
        <v>4.2000000000000003E-2</v>
      </c>
      <c r="E38" s="88" t="s">
        <v>198</v>
      </c>
      <c r="F38" s="88">
        <v>1.8E-5</v>
      </c>
      <c r="G38" s="88" t="s">
        <v>198</v>
      </c>
      <c r="H38" s="88">
        <v>6.2E-2</v>
      </c>
      <c r="I38" s="88">
        <v>0.02</v>
      </c>
      <c r="J38" s="88">
        <v>4.4999999999999998E-2</v>
      </c>
      <c r="K38" s="88">
        <v>4.7E-2</v>
      </c>
      <c r="L38" s="88">
        <v>4.5999999999999999E-2</v>
      </c>
      <c r="M38" s="88">
        <v>4.3999999999999997E-2</v>
      </c>
      <c r="N38" s="88">
        <v>0.01</v>
      </c>
      <c r="O38" s="88">
        <v>2.4E-2</v>
      </c>
      <c r="P38" s="88" t="s">
        <v>198</v>
      </c>
      <c r="Q38" s="88">
        <v>1.4999999999999999E-2</v>
      </c>
      <c r="R38" s="88">
        <v>9.5000000000000001E-2</v>
      </c>
      <c r="S38" s="88" t="s">
        <v>198</v>
      </c>
      <c r="T38" s="88" t="s">
        <v>198</v>
      </c>
      <c r="U38" s="88" t="s">
        <v>614</v>
      </c>
      <c r="V38" s="88" t="s">
        <v>614</v>
      </c>
    </row>
    <row r="39" spans="3:22" ht="18.399999999999999">
      <c r="C39" s="40" t="s">
        <v>617</v>
      </c>
      <c r="D39" s="88" t="s">
        <v>198</v>
      </c>
      <c r="E39" s="88" t="s">
        <v>198</v>
      </c>
      <c r="F39" s="88" t="s">
        <v>198</v>
      </c>
      <c r="G39" s="88" t="s">
        <v>198</v>
      </c>
      <c r="H39" s="88" t="s">
        <v>198</v>
      </c>
      <c r="I39" s="88" t="s">
        <v>198</v>
      </c>
      <c r="J39" s="88" t="s">
        <v>198</v>
      </c>
      <c r="K39" s="88">
        <v>5.5000000000000002E-5</v>
      </c>
      <c r="L39" s="88" t="s">
        <v>198</v>
      </c>
      <c r="M39" s="88" t="s">
        <v>198</v>
      </c>
      <c r="N39" s="88" t="s">
        <v>198</v>
      </c>
      <c r="O39" s="88" t="s">
        <v>198</v>
      </c>
      <c r="P39" s="88" t="s">
        <v>198</v>
      </c>
      <c r="Q39" s="88" t="s">
        <v>198</v>
      </c>
      <c r="R39" s="88" t="s">
        <v>198</v>
      </c>
      <c r="S39" s="88" t="s">
        <v>198</v>
      </c>
      <c r="T39" s="88" t="s">
        <v>198</v>
      </c>
      <c r="U39" s="88" t="s">
        <v>198</v>
      </c>
      <c r="V39" s="88" t="s">
        <v>198</v>
      </c>
    </row>
    <row r="40" spans="3:22" ht="18.399999999999999">
      <c r="C40" s="40" t="s">
        <v>618</v>
      </c>
      <c r="D40" s="88">
        <v>6.6E-4</v>
      </c>
      <c r="E40" s="88" t="s">
        <v>198</v>
      </c>
      <c r="F40" s="88" t="s">
        <v>198</v>
      </c>
      <c r="G40" s="88" t="s">
        <v>198</v>
      </c>
      <c r="H40" s="88" t="s">
        <v>198</v>
      </c>
      <c r="I40" s="88">
        <v>1.6999999999999999E-3</v>
      </c>
      <c r="J40" s="88" t="s">
        <v>198</v>
      </c>
      <c r="K40" s="88" t="s">
        <v>198</v>
      </c>
      <c r="L40" s="88">
        <v>4.1E-5</v>
      </c>
      <c r="M40" s="88" t="s">
        <v>198</v>
      </c>
      <c r="N40" s="88">
        <v>1.1000000000000001E-3</v>
      </c>
      <c r="O40" s="88" t="s">
        <v>198</v>
      </c>
      <c r="P40" s="88" t="s">
        <v>198</v>
      </c>
      <c r="Q40" s="88" t="s">
        <v>198</v>
      </c>
      <c r="R40" s="88" t="s">
        <v>198</v>
      </c>
      <c r="S40" s="88" t="s">
        <v>198</v>
      </c>
      <c r="T40" s="88" t="s">
        <v>198</v>
      </c>
      <c r="U40" s="88" t="s">
        <v>198</v>
      </c>
      <c r="V40" s="88" t="s">
        <v>198</v>
      </c>
    </row>
    <row r="41" spans="3:22" ht="18.399999999999999">
      <c r="C41" s="40" t="s">
        <v>619</v>
      </c>
      <c r="D41" s="88">
        <v>1.5E-3</v>
      </c>
      <c r="E41" s="88" t="s">
        <v>198</v>
      </c>
      <c r="F41" s="88" t="s">
        <v>198</v>
      </c>
      <c r="G41" s="88" t="s">
        <v>198</v>
      </c>
      <c r="H41" s="88">
        <v>5.1000000000000004E-3</v>
      </c>
      <c r="I41" s="88" t="s">
        <v>198</v>
      </c>
      <c r="J41" s="88" t="s">
        <v>198</v>
      </c>
      <c r="K41" s="88" t="s">
        <v>198</v>
      </c>
      <c r="L41" s="88">
        <v>2.7999999999999998E-4</v>
      </c>
      <c r="M41" s="88">
        <v>7.0999999999999994E-2</v>
      </c>
      <c r="N41" s="88">
        <v>6.7000000000000002E-3</v>
      </c>
      <c r="O41" s="88" t="s">
        <v>198</v>
      </c>
      <c r="P41" s="88" t="s">
        <v>198</v>
      </c>
      <c r="Q41" s="88" t="s">
        <v>198</v>
      </c>
      <c r="R41" s="88" t="s">
        <v>198</v>
      </c>
      <c r="S41" s="88" t="s">
        <v>198</v>
      </c>
      <c r="T41" s="88" t="s">
        <v>198</v>
      </c>
      <c r="U41" s="88" t="s">
        <v>198</v>
      </c>
      <c r="V41" s="88" t="s">
        <v>198</v>
      </c>
    </row>
    <row r="42" spans="3:22" ht="18.399999999999999">
      <c r="C42" s="40" t="s">
        <v>620</v>
      </c>
      <c r="D42" s="88">
        <v>4.2000000000000002E-4</v>
      </c>
      <c r="E42" s="88" t="s">
        <v>198</v>
      </c>
      <c r="F42" s="88" t="s">
        <v>198</v>
      </c>
      <c r="G42" s="88" t="s">
        <v>198</v>
      </c>
      <c r="H42" s="88" t="s">
        <v>198</v>
      </c>
      <c r="I42" s="88">
        <v>3.5000000000000001E-3</v>
      </c>
      <c r="J42" s="88" t="s">
        <v>198</v>
      </c>
      <c r="K42" s="88" t="s">
        <v>198</v>
      </c>
      <c r="L42" s="88">
        <v>6.8000000000000005E-4</v>
      </c>
      <c r="M42" s="88" t="s">
        <v>198</v>
      </c>
      <c r="N42" s="88" t="s">
        <v>198</v>
      </c>
      <c r="O42" s="88" t="s">
        <v>198</v>
      </c>
      <c r="P42" s="88" t="s">
        <v>198</v>
      </c>
      <c r="Q42" s="88" t="s">
        <v>198</v>
      </c>
      <c r="R42" s="88" t="s">
        <v>198</v>
      </c>
      <c r="S42" s="88" t="s">
        <v>198</v>
      </c>
      <c r="T42" s="88" t="s">
        <v>198</v>
      </c>
      <c r="U42" s="88" t="s">
        <v>198</v>
      </c>
      <c r="V42" s="88" t="s">
        <v>198</v>
      </c>
    </row>
    <row r="43" spans="3:22" ht="18.399999999999999">
      <c r="C43" s="40" t="s">
        <v>621</v>
      </c>
      <c r="D43" s="88">
        <v>2.3999999999999998E-3</v>
      </c>
      <c r="E43" s="88" t="s">
        <v>198</v>
      </c>
      <c r="F43" s="88" t="s">
        <v>622</v>
      </c>
      <c r="G43" s="88" t="s">
        <v>198</v>
      </c>
      <c r="H43" s="88">
        <v>6.4000000000000005E-4</v>
      </c>
      <c r="I43" s="88">
        <v>4.0000000000000002E-4</v>
      </c>
      <c r="J43" s="88" t="s">
        <v>198</v>
      </c>
      <c r="K43" s="88" t="s">
        <v>198</v>
      </c>
      <c r="L43" s="88">
        <v>1.6E-2</v>
      </c>
      <c r="M43" s="88">
        <v>4.3E-3</v>
      </c>
      <c r="N43" s="88" t="s">
        <v>198</v>
      </c>
      <c r="O43" s="88" t="s">
        <v>198</v>
      </c>
      <c r="P43" s="88" t="s">
        <v>198</v>
      </c>
      <c r="Q43" s="88">
        <v>2.2000000000000001E-3</v>
      </c>
      <c r="R43" s="88">
        <v>8.9999999999999998E-4</v>
      </c>
      <c r="S43" s="88" t="s">
        <v>198</v>
      </c>
      <c r="T43" s="88" t="s">
        <v>198</v>
      </c>
      <c r="U43" s="88" t="s">
        <v>198</v>
      </c>
      <c r="V43" s="88" t="s">
        <v>198</v>
      </c>
    </row>
    <row r="44" spans="3:22" ht="18.399999999999999">
      <c r="C44" s="40" t="s">
        <v>623</v>
      </c>
      <c r="D44" s="88">
        <v>6.3E-3</v>
      </c>
      <c r="E44" s="88" t="s">
        <v>198</v>
      </c>
      <c r="F44" s="88" t="s">
        <v>198</v>
      </c>
      <c r="G44" s="88" t="s">
        <v>198</v>
      </c>
      <c r="H44" s="88">
        <v>3.0000000000000001E-5</v>
      </c>
      <c r="I44" s="88">
        <v>2.5999999999999998E-4</v>
      </c>
      <c r="J44" s="88" t="s">
        <v>198</v>
      </c>
      <c r="K44" s="88" t="s">
        <v>198</v>
      </c>
      <c r="L44" s="88">
        <v>1.1000000000000001E-3</v>
      </c>
      <c r="M44" s="88" t="s">
        <v>198</v>
      </c>
      <c r="N44" s="88">
        <v>2.0999999999999999E-3</v>
      </c>
      <c r="O44" s="88" t="s">
        <v>198</v>
      </c>
      <c r="P44" s="88" t="s">
        <v>198</v>
      </c>
      <c r="Q44" s="88">
        <v>2.3000000000000001E-4</v>
      </c>
      <c r="R44" s="88">
        <v>2.0999999999999998E-6</v>
      </c>
      <c r="S44" s="88" t="s">
        <v>198</v>
      </c>
      <c r="T44" s="88" t="s">
        <v>198</v>
      </c>
      <c r="U44" s="88" t="s">
        <v>198</v>
      </c>
      <c r="V44" s="88" t="s">
        <v>198</v>
      </c>
    </row>
    <row r="45" spans="3:22" ht="18.399999999999999">
      <c r="C45" s="40" t="s">
        <v>624</v>
      </c>
      <c r="D45" s="88">
        <v>3.9E-2</v>
      </c>
      <c r="E45" s="88">
        <v>2E-3</v>
      </c>
      <c r="F45" s="88">
        <v>1.1999999999999999E-6</v>
      </c>
      <c r="G45" s="88" t="s">
        <v>198</v>
      </c>
      <c r="H45" s="88">
        <v>1.7999999999999999E-2</v>
      </c>
      <c r="I45" s="88">
        <v>2.1999999999999999E-2</v>
      </c>
      <c r="J45" s="88" t="s">
        <v>198</v>
      </c>
      <c r="K45" s="88">
        <v>5.3E-3</v>
      </c>
      <c r="L45" s="88" t="s">
        <v>198</v>
      </c>
      <c r="M45" s="88">
        <v>5.7000000000000002E-2</v>
      </c>
      <c r="N45" s="88">
        <v>1.4999999999999999E-2</v>
      </c>
      <c r="O45" s="88" t="s">
        <v>198</v>
      </c>
      <c r="P45" s="88" t="s">
        <v>198</v>
      </c>
      <c r="Q45" s="88">
        <v>6.7999999999999996E-3</v>
      </c>
      <c r="R45" s="88">
        <v>1.4E-3</v>
      </c>
      <c r="S45" s="88" t="s">
        <v>198</v>
      </c>
      <c r="T45" s="88" t="s">
        <v>198</v>
      </c>
      <c r="U45" s="88" t="s">
        <v>198</v>
      </c>
      <c r="V45" s="88" t="s">
        <v>198</v>
      </c>
    </row>
    <row r="46" spans="3:22" ht="17.25">
      <c r="C46" s="5" t="s">
        <v>625</v>
      </c>
    </row>
    <row r="47" spans="3:22" ht="18.399999999999999">
      <c r="C47" s="5" t="s">
        <v>626</v>
      </c>
    </row>
    <row r="48" spans="3:22" ht="15.4">
      <c r="C48" s="5" t="s">
        <v>627</v>
      </c>
    </row>
    <row r="49" spans="3:18" ht="15.4"/>
    <row r="50" spans="3:18" ht="15.4">
      <c r="C50" s="78" t="s">
        <v>628</v>
      </c>
    </row>
    <row r="51" spans="3:18" ht="15.4">
      <c r="C51" s="44" t="s">
        <v>629</v>
      </c>
      <c r="D51" s="44" t="s">
        <v>630</v>
      </c>
      <c r="E51" s="44"/>
      <c r="F51" s="44"/>
      <c r="G51" s="44"/>
      <c r="H51" s="44"/>
      <c r="I51" s="44"/>
      <c r="J51" s="44"/>
      <c r="K51" s="44"/>
      <c r="L51" s="44"/>
      <c r="M51" s="44"/>
      <c r="N51" s="44"/>
      <c r="O51" s="44"/>
      <c r="P51" s="44"/>
      <c r="Q51" s="44"/>
      <c r="R51" s="44"/>
    </row>
    <row r="52" spans="3:18" ht="16.149999999999999">
      <c r="C52" s="44"/>
      <c r="D52" s="85" t="s">
        <v>594</v>
      </c>
      <c r="E52" s="85" t="s">
        <v>631</v>
      </c>
      <c r="F52" s="85" t="s">
        <v>595</v>
      </c>
      <c r="G52" s="85" t="s">
        <v>596</v>
      </c>
      <c r="H52" s="85" t="s">
        <v>598</v>
      </c>
      <c r="I52" s="85" t="s">
        <v>599</v>
      </c>
      <c r="J52" s="85" t="s">
        <v>632</v>
      </c>
      <c r="K52" s="85" t="s">
        <v>601</v>
      </c>
      <c r="L52" s="85" t="s">
        <v>633</v>
      </c>
      <c r="M52" s="85" t="s">
        <v>634</v>
      </c>
      <c r="N52" s="85" t="s">
        <v>635</v>
      </c>
      <c r="O52" s="85" t="s">
        <v>636</v>
      </c>
      <c r="P52" s="85" t="s">
        <v>637</v>
      </c>
      <c r="Q52" s="85" t="s">
        <v>638</v>
      </c>
      <c r="R52" s="85" t="s">
        <v>639</v>
      </c>
    </row>
    <row r="53" spans="3:18" ht="15.4">
      <c r="C53" s="42" t="s">
        <v>640</v>
      </c>
      <c r="D53" s="40"/>
      <c r="E53" s="40"/>
      <c r="F53" s="40"/>
      <c r="G53" s="40"/>
      <c r="H53" s="40"/>
      <c r="I53" s="40" t="s">
        <v>641</v>
      </c>
      <c r="J53" s="40"/>
      <c r="K53" s="40"/>
      <c r="L53" s="40" t="s">
        <v>641</v>
      </c>
      <c r="M53" s="40"/>
      <c r="N53" s="40"/>
      <c r="O53" s="40"/>
      <c r="P53" s="40" t="s">
        <v>641</v>
      </c>
      <c r="Q53" s="40" t="s">
        <v>641</v>
      </c>
      <c r="R53" s="40" t="s">
        <v>641</v>
      </c>
    </row>
    <row r="54" spans="3:18" ht="15.4">
      <c r="C54" s="42" t="s">
        <v>642</v>
      </c>
      <c r="D54" s="40" t="s">
        <v>641</v>
      </c>
      <c r="E54" s="40"/>
      <c r="F54" s="40"/>
      <c r="G54" s="40"/>
      <c r="H54" s="40"/>
      <c r="I54" s="40"/>
      <c r="J54" s="40"/>
      <c r="K54" s="40"/>
      <c r="L54" s="40"/>
      <c r="M54" s="40"/>
      <c r="N54" s="40"/>
      <c r="O54" s="40"/>
      <c r="P54" s="40" t="s">
        <v>641</v>
      </c>
      <c r="Q54" s="40" t="s">
        <v>641</v>
      </c>
      <c r="R54" s="40" t="s">
        <v>641</v>
      </c>
    </row>
    <row r="55" spans="3:18" ht="15.4">
      <c r="C55" s="42" t="s">
        <v>643</v>
      </c>
      <c r="D55" s="40"/>
      <c r="E55" s="40"/>
      <c r="F55" s="40"/>
      <c r="G55" s="40"/>
      <c r="H55" s="40"/>
      <c r="I55" s="40"/>
      <c r="J55" s="40"/>
      <c r="K55" s="40"/>
      <c r="L55" s="40"/>
      <c r="M55" s="40"/>
      <c r="N55" s="40"/>
      <c r="O55" s="40"/>
      <c r="P55" s="40"/>
      <c r="Q55" s="40"/>
      <c r="R55" s="40"/>
    </row>
    <row r="56" spans="3:18" ht="15.4">
      <c r="C56" s="42" t="s">
        <v>644</v>
      </c>
      <c r="D56" s="40"/>
      <c r="E56" s="40"/>
      <c r="F56" s="40"/>
      <c r="G56" s="40" t="s">
        <v>641</v>
      </c>
      <c r="H56" s="40" t="s">
        <v>641</v>
      </c>
      <c r="I56" s="40" t="s">
        <v>641</v>
      </c>
      <c r="J56" s="40"/>
      <c r="K56" s="40"/>
      <c r="L56" s="40"/>
      <c r="M56" s="40"/>
      <c r="N56" s="40"/>
      <c r="O56" s="40"/>
      <c r="P56" s="40" t="s">
        <v>641</v>
      </c>
      <c r="Q56" s="40"/>
      <c r="R56" s="40"/>
    </row>
    <row r="57" spans="3:18" ht="15.4">
      <c r="C57" s="42" t="s">
        <v>645</v>
      </c>
      <c r="D57" s="40" t="s">
        <v>641</v>
      </c>
      <c r="E57" s="40" t="s">
        <v>641</v>
      </c>
      <c r="F57" s="40" t="s">
        <v>641</v>
      </c>
      <c r="G57" s="40" t="s">
        <v>641</v>
      </c>
      <c r="H57" s="40" t="s">
        <v>641</v>
      </c>
      <c r="I57" s="40" t="s">
        <v>641</v>
      </c>
      <c r="J57" s="40" t="s">
        <v>641</v>
      </c>
      <c r="K57" s="40" t="s">
        <v>641</v>
      </c>
      <c r="L57" s="40" t="s">
        <v>641</v>
      </c>
      <c r="M57" s="40" t="s">
        <v>641</v>
      </c>
      <c r="N57" s="40" t="s">
        <v>641</v>
      </c>
      <c r="O57" s="40" t="s">
        <v>641</v>
      </c>
      <c r="P57" s="40" t="s">
        <v>641</v>
      </c>
      <c r="Q57" s="40" t="s">
        <v>641</v>
      </c>
      <c r="R57" s="40" t="s">
        <v>641</v>
      </c>
    </row>
    <row r="58" spans="3:18" ht="15.4">
      <c r="C58" s="42" t="s">
        <v>646</v>
      </c>
      <c r="D58" s="40" t="s">
        <v>641</v>
      </c>
      <c r="E58" s="40" t="s">
        <v>641</v>
      </c>
      <c r="F58" s="40" t="s">
        <v>641</v>
      </c>
      <c r="G58" s="40" t="s">
        <v>641</v>
      </c>
      <c r="H58" s="40" t="s">
        <v>641</v>
      </c>
      <c r="I58" s="40" t="s">
        <v>641</v>
      </c>
      <c r="J58" s="40" t="s">
        <v>641</v>
      </c>
      <c r="K58" s="40" t="s">
        <v>641</v>
      </c>
      <c r="L58" s="40" t="s">
        <v>641</v>
      </c>
      <c r="M58" s="40" t="s">
        <v>641</v>
      </c>
      <c r="N58" s="40" t="s">
        <v>641</v>
      </c>
      <c r="O58" s="40" t="s">
        <v>641</v>
      </c>
      <c r="P58" s="40" t="s">
        <v>641</v>
      </c>
      <c r="Q58" s="40" t="s">
        <v>641</v>
      </c>
      <c r="R58" s="40" t="s">
        <v>641</v>
      </c>
    </row>
    <row r="59" spans="3:18" ht="15.4">
      <c r="C59" s="5" t="s">
        <v>647</v>
      </c>
    </row>
    <row r="60" spans="3:18" ht="15.4">
      <c r="C60" s="5" t="s">
        <v>648</v>
      </c>
    </row>
    <row r="61" spans="3:18" ht="15.4">
      <c r="C61" s="5" t="s">
        <v>649</v>
      </c>
    </row>
    <row r="62" spans="3:18" ht="15.4"/>
    <row r="63" spans="3:18" ht="15.4">
      <c r="C63" s="78" t="s">
        <v>650</v>
      </c>
    </row>
    <row r="64" spans="3:18" ht="15.4">
      <c r="C64" s="44" t="s">
        <v>651</v>
      </c>
      <c r="D64" s="44"/>
      <c r="E64" s="44"/>
      <c r="F64" s="44"/>
      <c r="G64" s="44"/>
      <c r="H64" s="44"/>
      <c r="I64" s="44"/>
      <c r="J64" s="44"/>
      <c r="K64" s="44"/>
      <c r="L64" s="44"/>
      <c r="M64" s="44"/>
      <c r="N64" s="44"/>
      <c r="O64" s="44"/>
      <c r="P64" s="44"/>
      <c r="Q64" s="44"/>
      <c r="R64" s="44"/>
    </row>
    <row r="65" spans="3:18" ht="18.399999999999999">
      <c r="C65" s="24"/>
      <c r="D65" s="24" t="s">
        <v>652</v>
      </c>
      <c r="E65" s="24" t="s">
        <v>653</v>
      </c>
      <c r="F65" s="24" t="s">
        <v>654</v>
      </c>
      <c r="G65" s="24" t="s">
        <v>655</v>
      </c>
      <c r="H65" s="24" t="s">
        <v>656</v>
      </c>
      <c r="I65" s="24" t="s">
        <v>657</v>
      </c>
      <c r="J65" s="24" t="s">
        <v>658</v>
      </c>
      <c r="K65" s="24" t="s">
        <v>659</v>
      </c>
      <c r="L65" s="24" t="s">
        <v>660</v>
      </c>
      <c r="M65" s="24" t="s">
        <v>661</v>
      </c>
      <c r="N65" s="24" t="s">
        <v>662</v>
      </c>
      <c r="O65" s="24" t="s">
        <v>663</v>
      </c>
      <c r="P65" s="24" t="s">
        <v>664</v>
      </c>
      <c r="Q65" s="24" t="s">
        <v>665</v>
      </c>
      <c r="R65" s="24" t="s">
        <v>51</v>
      </c>
    </row>
    <row r="66" spans="3:18" ht="15.4">
      <c r="C66" s="40" t="s">
        <v>666</v>
      </c>
      <c r="D66" s="40">
        <v>0.89</v>
      </c>
      <c r="E66" s="40">
        <v>0.98</v>
      </c>
      <c r="F66" s="40">
        <v>0.98</v>
      </c>
      <c r="G66" s="40">
        <v>0.99</v>
      </c>
      <c r="H66" s="40">
        <v>0.98</v>
      </c>
      <c r="I66" s="40">
        <v>0.98</v>
      </c>
      <c r="J66" s="40">
        <v>0.98</v>
      </c>
      <c r="K66" s="40">
        <v>0.98</v>
      </c>
      <c r="L66" s="40">
        <v>0.98</v>
      </c>
      <c r="M66" s="40">
        <v>0.99</v>
      </c>
      <c r="N66" s="40">
        <v>0.99</v>
      </c>
      <c r="O66" s="40">
        <v>0.98</v>
      </c>
      <c r="P66" s="40">
        <v>0.95</v>
      </c>
      <c r="Q66" s="40">
        <v>0.96</v>
      </c>
      <c r="R66" s="40">
        <v>0.6</v>
      </c>
    </row>
    <row r="67" spans="3:18" ht="15.4">
      <c r="C67" s="5" t="s">
        <v>667</v>
      </c>
    </row>
    <row r="68" spans="3:18" ht="15.4">
      <c r="C68" s="5" t="s">
        <v>668</v>
      </c>
    </row>
    <row r="69" spans="3:18" ht="15.4"/>
    <row r="70" spans="3:18" ht="15.4">
      <c r="C70" s="78" t="s">
        <v>669</v>
      </c>
    </row>
    <row r="71" spans="3:18" ht="15.4">
      <c r="C71" s="93" t="s">
        <v>670</v>
      </c>
      <c r="D71" s="44" t="s">
        <v>671</v>
      </c>
      <c r="E71" s="44"/>
      <c r="F71" s="44"/>
      <c r="G71" s="44"/>
      <c r="H71" s="44"/>
    </row>
    <row r="72" spans="3:18" ht="15.4">
      <c r="C72" s="93"/>
      <c r="D72" s="44" t="s">
        <v>672</v>
      </c>
      <c r="E72" s="44"/>
      <c r="F72" s="44"/>
      <c r="G72" s="44"/>
      <c r="H72" s="44"/>
    </row>
    <row r="73" spans="3:18" ht="18.399999999999999">
      <c r="C73" s="93"/>
      <c r="D73" s="24" t="s">
        <v>652</v>
      </c>
      <c r="E73" s="24" t="s">
        <v>654</v>
      </c>
      <c r="F73" s="24" t="s">
        <v>657</v>
      </c>
      <c r="G73" s="24" t="s">
        <v>664</v>
      </c>
      <c r="H73" s="24" t="s">
        <v>665</v>
      </c>
    </row>
    <row r="74" spans="3:18" ht="48">
      <c r="C74" s="93"/>
      <c r="D74" s="24" t="s">
        <v>673</v>
      </c>
      <c r="E74" s="24" t="s">
        <v>674</v>
      </c>
      <c r="F74" s="24" t="s">
        <v>674</v>
      </c>
      <c r="G74" s="24" t="s">
        <v>675</v>
      </c>
      <c r="H74" s="24" t="s">
        <v>674</v>
      </c>
    </row>
    <row r="75" spans="3:18" ht="15.4">
      <c r="C75" s="77" t="s">
        <v>676</v>
      </c>
      <c r="D75" s="77"/>
      <c r="E75" s="77"/>
      <c r="F75" s="77"/>
      <c r="G75" s="77"/>
      <c r="H75" s="77"/>
    </row>
    <row r="76" spans="3:18" ht="18.399999999999999">
      <c r="C76" s="37" t="s">
        <v>677</v>
      </c>
      <c r="D76" s="37" t="s">
        <v>678</v>
      </c>
      <c r="E76" s="37">
        <v>9.3000000000000007</v>
      </c>
      <c r="F76" s="37">
        <v>4.7</v>
      </c>
      <c r="G76" s="37" t="s">
        <v>679</v>
      </c>
      <c r="H76" s="37">
        <v>11</v>
      </c>
    </row>
    <row r="77" spans="3:18" ht="18.399999999999999">
      <c r="C77" s="37" t="s">
        <v>680</v>
      </c>
      <c r="D77" s="37" t="s">
        <v>198</v>
      </c>
      <c r="E77" s="37">
        <v>23</v>
      </c>
      <c r="F77" s="40">
        <v>6.6</v>
      </c>
      <c r="G77" s="40">
        <v>63</v>
      </c>
      <c r="H77" s="40">
        <v>8.5</v>
      </c>
    </row>
    <row r="78" spans="3:18" ht="18.399999999999999">
      <c r="C78" s="37" t="s">
        <v>681</v>
      </c>
      <c r="D78" s="37" t="s">
        <v>198</v>
      </c>
      <c r="E78" s="37" t="s">
        <v>198</v>
      </c>
      <c r="F78" s="40" t="s">
        <v>198</v>
      </c>
      <c r="G78" s="40" t="s">
        <v>198</v>
      </c>
      <c r="H78" s="40">
        <v>3.4</v>
      </c>
    </row>
    <row r="79" spans="3:18" ht="15.4">
      <c r="C79" s="77" t="s">
        <v>682</v>
      </c>
      <c r="D79" s="77"/>
      <c r="E79" s="77"/>
      <c r="F79" s="77"/>
      <c r="G79" s="77"/>
      <c r="H79" s="77"/>
    </row>
    <row r="80" spans="3:18" ht="33.75">
      <c r="C80" s="40" t="s">
        <v>683</v>
      </c>
      <c r="D80" s="37" t="s">
        <v>678</v>
      </c>
      <c r="E80" s="37">
        <v>9.3000000000000007</v>
      </c>
      <c r="F80" s="37">
        <v>4.7</v>
      </c>
      <c r="G80" s="37" t="s">
        <v>684</v>
      </c>
      <c r="H80" s="37">
        <v>11</v>
      </c>
    </row>
    <row r="81" spans="2:22" ht="33.75">
      <c r="C81" s="40" t="s">
        <v>685</v>
      </c>
      <c r="D81" s="37" t="s">
        <v>198</v>
      </c>
      <c r="E81" s="37">
        <v>23</v>
      </c>
      <c r="F81" s="40">
        <v>6.6</v>
      </c>
      <c r="G81" s="40">
        <v>110</v>
      </c>
      <c r="H81" s="40">
        <v>8.5</v>
      </c>
    </row>
    <row r="82" spans="2:22" ht="33.75">
      <c r="C82" s="40" t="s">
        <v>686</v>
      </c>
      <c r="D82" s="37" t="s">
        <v>198</v>
      </c>
      <c r="E82" s="37" t="s">
        <v>198</v>
      </c>
      <c r="F82" s="40" t="s">
        <v>198</v>
      </c>
      <c r="G82" s="40" t="s">
        <v>198</v>
      </c>
      <c r="H82" s="40">
        <v>3.4</v>
      </c>
    </row>
    <row r="83" spans="2:22" ht="33.75">
      <c r="C83" s="40" t="s">
        <v>687</v>
      </c>
      <c r="D83" s="40" t="s">
        <v>614</v>
      </c>
      <c r="E83" s="40" t="s">
        <v>614</v>
      </c>
      <c r="F83" s="40" t="s">
        <v>614</v>
      </c>
      <c r="G83" s="37" t="s">
        <v>688</v>
      </c>
      <c r="H83" s="40" t="s">
        <v>614</v>
      </c>
    </row>
    <row r="84" spans="2:22" ht="33.75">
      <c r="C84" s="40" t="s">
        <v>689</v>
      </c>
      <c r="D84" s="37" t="s">
        <v>198</v>
      </c>
      <c r="E84" s="40" t="s">
        <v>198</v>
      </c>
      <c r="F84" s="40" t="s">
        <v>198</v>
      </c>
      <c r="G84" s="40">
        <v>17</v>
      </c>
      <c r="H84" s="40" t="s">
        <v>198</v>
      </c>
    </row>
    <row r="85" spans="2:22" ht="15.4">
      <c r="C85" s="5" t="s">
        <v>690</v>
      </c>
    </row>
    <row r="86" spans="2:22" ht="15.4">
      <c r="C86" s="5" t="s">
        <v>691</v>
      </c>
    </row>
    <row r="87" spans="2:22" ht="15.4">
      <c r="C87" s="5" t="s">
        <v>692</v>
      </c>
    </row>
    <row r="88" spans="2:22" ht="15.4"/>
    <row r="89" spans="2:22" ht="15.4">
      <c r="B89" s="78" t="s">
        <v>693</v>
      </c>
    </row>
    <row r="90" spans="2:22" ht="18.399999999999999">
      <c r="C90" s="5" t="s">
        <v>694</v>
      </c>
    </row>
    <row r="91" spans="2:22" ht="15.4">
      <c r="C91" s="78" t="s">
        <v>695</v>
      </c>
    </row>
    <row r="92" spans="2:22" ht="33.75">
      <c r="C92" s="89" t="s">
        <v>696</v>
      </c>
      <c r="D92" s="24" t="s">
        <v>652</v>
      </c>
      <c r="E92" s="24" t="s">
        <v>654</v>
      </c>
      <c r="F92" s="24" t="s">
        <v>655</v>
      </c>
      <c r="G92" s="24" t="s">
        <v>697</v>
      </c>
      <c r="H92" s="24" t="s">
        <v>656</v>
      </c>
      <c r="I92" s="24" t="s">
        <v>657</v>
      </c>
      <c r="J92" s="24" t="s">
        <v>658</v>
      </c>
      <c r="K92" s="24" t="s">
        <v>659</v>
      </c>
      <c r="L92" s="24" t="s">
        <v>660</v>
      </c>
      <c r="M92" s="24" t="s">
        <v>661</v>
      </c>
      <c r="N92" s="24" t="s">
        <v>662</v>
      </c>
      <c r="O92" s="24" t="s">
        <v>663</v>
      </c>
      <c r="P92" s="24" t="s">
        <v>698</v>
      </c>
      <c r="Q92" s="24" t="s">
        <v>664</v>
      </c>
      <c r="R92" s="24" t="s">
        <v>665</v>
      </c>
      <c r="S92" s="24" t="s">
        <v>699</v>
      </c>
      <c r="T92" s="24" t="s">
        <v>700</v>
      </c>
      <c r="U92" s="24" t="s">
        <v>701</v>
      </c>
      <c r="V92" s="24" t="s">
        <v>702</v>
      </c>
    </row>
    <row r="93" spans="2:22" ht="15.4">
      <c r="C93" s="51" t="s">
        <v>703</v>
      </c>
      <c r="D93" s="51"/>
      <c r="E93" s="51"/>
      <c r="F93" s="51"/>
      <c r="G93" s="51"/>
      <c r="H93" s="51"/>
      <c r="I93" s="51"/>
      <c r="J93" s="51"/>
      <c r="K93" s="51"/>
      <c r="L93" s="51"/>
      <c r="M93" s="51"/>
      <c r="N93" s="51"/>
      <c r="O93" s="51"/>
      <c r="P93" s="51"/>
      <c r="Q93" s="51"/>
      <c r="R93" s="51"/>
      <c r="S93" s="51"/>
      <c r="T93" s="51"/>
      <c r="U93" s="51"/>
      <c r="V93" s="51"/>
    </row>
    <row r="94" spans="2:22" ht="18.399999999999999">
      <c r="C94" s="40" t="s">
        <v>704</v>
      </c>
      <c r="D94" s="88">
        <v>0.79</v>
      </c>
      <c r="E94" s="88">
        <v>0.55000000000000004</v>
      </c>
      <c r="F94" s="88">
        <v>0.4</v>
      </c>
      <c r="G94" s="88" t="s">
        <v>198</v>
      </c>
      <c r="H94" s="88">
        <v>8.3000000000000004E-2</v>
      </c>
      <c r="I94" s="88">
        <v>0.12</v>
      </c>
      <c r="J94" s="88">
        <v>0.14000000000000001</v>
      </c>
      <c r="K94" s="88">
        <v>7.1999999999999995E-2</v>
      </c>
      <c r="L94" s="88">
        <v>0.51</v>
      </c>
      <c r="M94" s="88">
        <v>0.13</v>
      </c>
      <c r="N94" s="88">
        <v>0.7</v>
      </c>
      <c r="O94" s="88">
        <v>6.4000000000000001E-2</v>
      </c>
      <c r="P94" s="88">
        <v>2.8000000000000001E-2</v>
      </c>
      <c r="Q94" s="88">
        <v>0.18</v>
      </c>
      <c r="R94" s="88">
        <v>0.57999999999999996</v>
      </c>
      <c r="S94" s="88">
        <v>1</v>
      </c>
      <c r="T94" s="88">
        <v>1</v>
      </c>
      <c r="U94" s="88" t="s">
        <v>614</v>
      </c>
      <c r="V94" s="88" t="s">
        <v>614</v>
      </c>
    </row>
    <row r="95" spans="2:22" ht="18.399999999999999">
      <c r="C95" s="40" t="s">
        <v>615</v>
      </c>
      <c r="D95" s="88" t="s">
        <v>198</v>
      </c>
      <c r="E95" s="88">
        <v>0.19</v>
      </c>
      <c r="F95" s="88">
        <v>0.2</v>
      </c>
      <c r="G95" s="88" t="s">
        <v>198</v>
      </c>
      <c r="H95" s="88">
        <v>9.5000000000000001E-2</v>
      </c>
      <c r="I95" s="88">
        <v>0.11</v>
      </c>
      <c r="J95" s="88">
        <v>0.13</v>
      </c>
      <c r="K95" s="88" t="s">
        <v>198</v>
      </c>
      <c r="L95" s="88">
        <v>8.5000000000000006E-2</v>
      </c>
      <c r="M95" s="88">
        <v>7.9000000000000001E-2</v>
      </c>
      <c r="N95" s="88" t="s">
        <v>198</v>
      </c>
      <c r="O95" s="88">
        <v>7.6999999999999999E-2</v>
      </c>
      <c r="P95" s="88">
        <v>1.4999999999999999E-2</v>
      </c>
      <c r="Q95" s="88">
        <v>0.11</v>
      </c>
      <c r="R95" s="88">
        <v>0.13</v>
      </c>
      <c r="S95" s="88" t="s">
        <v>198</v>
      </c>
      <c r="T95" s="88" t="s">
        <v>198</v>
      </c>
      <c r="U95" s="88" t="s">
        <v>614</v>
      </c>
      <c r="V95" s="88" t="s">
        <v>614</v>
      </c>
    </row>
    <row r="96" spans="2:22" ht="18.399999999999999">
      <c r="C96" s="40" t="s">
        <v>616</v>
      </c>
      <c r="D96" s="88">
        <v>2.7E-2</v>
      </c>
      <c r="E96" s="88" t="s">
        <v>198</v>
      </c>
      <c r="F96" s="88" t="s">
        <v>198</v>
      </c>
      <c r="G96" s="88" t="s">
        <v>198</v>
      </c>
      <c r="H96" s="88">
        <v>7.2999999999999995E-2</v>
      </c>
      <c r="I96" s="88">
        <v>1.9E-2</v>
      </c>
      <c r="J96" s="88">
        <v>4.4999999999999998E-2</v>
      </c>
      <c r="K96" s="88">
        <v>1.4E-2</v>
      </c>
      <c r="L96" s="88">
        <v>3.5000000000000003E-2</v>
      </c>
      <c r="M96" s="88">
        <v>2.5000000000000001E-2</v>
      </c>
      <c r="N96" s="88">
        <v>3.3999999999999998E-3</v>
      </c>
      <c r="O96" s="88">
        <v>2.4E-2</v>
      </c>
      <c r="P96" s="88" t="s">
        <v>198</v>
      </c>
      <c r="Q96" s="88">
        <v>5.8999999999999999E-3</v>
      </c>
      <c r="R96" s="88">
        <v>0.1</v>
      </c>
      <c r="S96" s="88" t="s">
        <v>198</v>
      </c>
      <c r="T96" s="88" t="s">
        <v>198</v>
      </c>
      <c r="U96" s="88" t="s">
        <v>614</v>
      </c>
      <c r="V96" s="88" t="s">
        <v>614</v>
      </c>
    </row>
    <row r="97" spans="3:22" ht="18.399999999999999">
      <c r="C97" s="40" t="s">
        <v>617</v>
      </c>
      <c r="D97" s="88" t="s">
        <v>198</v>
      </c>
      <c r="E97" s="88" t="s">
        <v>198</v>
      </c>
      <c r="F97" s="88" t="s">
        <v>198</v>
      </c>
      <c r="G97" s="88" t="s">
        <v>198</v>
      </c>
      <c r="H97" s="88" t="s">
        <v>198</v>
      </c>
      <c r="I97" s="88" t="s">
        <v>198</v>
      </c>
      <c r="J97" s="88" t="s">
        <v>198</v>
      </c>
      <c r="K97" s="88" t="s">
        <v>198</v>
      </c>
      <c r="L97" s="88" t="s">
        <v>198</v>
      </c>
      <c r="M97" s="88" t="s">
        <v>198</v>
      </c>
      <c r="N97" s="88" t="s">
        <v>198</v>
      </c>
      <c r="O97" s="88" t="s">
        <v>198</v>
      </c>
      <c r="P97" s="88" t="s">
        <v>198</v>
      </c>
      <c r="Q97" s="88" t="s">
        <v>198</v>
      </c>
      <c r="R97" s="88" t="s">
        <v>198</v>
      </c>
      <c r="S97" s="88" t="s">
        <v>198</v>
      </c>
      <c r="T97" s="88" t="s">
        <v>198</v>
      </c>
      <c r="U97" s="88" t="s">
        <v>198</v>
      </c>
      <c r="V97" s="88" t="s">
        <v>198</v>
      </c>
    </row>
    <row r="98" spans="3:22" ht="18.399999999999999">
      <c r="C98" s="40" t="s">
        <v>620</v>
      </c>
      <c r="D98" s="88">
        <v>7.6999999999999996E-4</v>
      </c>
      <c r="E98" s="88" t="s">
        <v>198</v>
      </c>
      <c r="F98" s="88" t="s">
        <v>198</v>
      </c>
      <c r="G98" s="88" t="s">
        <v>198</v>
      </c>
      <c r="H98" s="88" t="s">
        <v>198</v>
      </c>
      <c r="I98" s="88">
        <v>4.3E-3</v>
      </c>
      <c r="J98" s="88" t="s">
        <v>198</v>
      </c>
      <c r="K98" s="88" t="s">
        <v>198</v>
      </c>
      <c r="L98" s="88">
        <v>1.1999999999999999E-3</v>
      </c>
      <c r="M98" s="88" t="s">
        <v>198</v>
      </c>
      <c r="N98" s="88" t="s">
        <v>198</v>
      </c>
      <c r="O98" s="88" t="s">
        <v>198</v>
      </c>
      <c r="P98" s="88" t="s">
        <v>198</v>
      </c>
      <c r="Q98" s="88" t="s">
        <v>198</v>
      </c>
      <c r="R98" s="88" t="s">
        <v>198</v>
      </c>
      <c r="S98" s="88" t="s">
        <v>198</v>
      </c>
      <c r="T98" s="88" t="s">
        <v>198</v>
      </c>
      <c r="U98" s="88" t="s">
        <v>198</v>
      </c>
      <c r="V98" s="88" t="s">
        <v>198</v>
      </c>
    </row>
    <row r="99" spans="3:22" ht="18.399999999999999">
      <c r="C99" s="40" t="s">
        <v>624</v>
      </c>
      <c r="D99" s="88">
        <v>0.06</v>
      </c>
      <c r="E99" s="88">
        <v>2E-3</v>
      </c>
      <c r="F99" s="88" t="s">
        <v>198</v>
      </c>
      <c r="G99" s="88" t="s">
        <v>198</v>
      </c>
      <c r="H99" s="88">
        <v>6.6000000000000003E-2</v>
      </c>
      <c r="I99" s="88">
        <v>0.02</v>
      </c>
      <c r="J99" s="88" t="s">
        <v>198</v>
      </c>
      <c r="K99" s="88">
        <v>3.8999999999999998E-3</v>
      </c>
      <c r="L99" s="88" t="s">
        <v>198</v>
      </c>
      <c r="M99" s="88">
        <v>4.9000000000000002E-2</v>
      </c>
      <c r="N99" s="88" t="s">
        <v>198</v>
      </c>
      <c r="O99" s="88" t="s">
        <v>198</v>
      </c>
      <c r="P99" s="88" t="s">
        <v>198</v>
      </c>
      <c r="Q99" s="88" t="s">
        <v>198</v>
      </c>
      <c r="R99" s="88">
        <v>1.1000000000000001E-3</v>
      </c>
      <c r="S99" s="88" t="s">
        <v>198</v>
      </c>
      <c r="T99" s="88" t="s">
        <v>198</v>
      </c>
      <c r="U99" s="88" t="s">
        <v>198</v>
      </c>
      <c r="V99" s="88" t="s">
        <v>198</v>
      </c>
    </row>
    <row r="100" spans="3:22" ht="15.4">
      <c r="C100" s="51" t="s">
        <v>705</v>
      </c>
      <c r="D100" s="51"/>
      <c r="E100" s="51"/>
      <c r="F100" s="51"/>
      <c r="G100" s="51"/>
      <c r="H100" s="51"/>
      <c r="I100" s="51"/>
      <c r="J100" s="51"/>
      <c r="K100" s="51"/>
      <c r="L100" s="51"/>
      <c r="M100" s="51"/>
      <c r="N100" s="51"/>
      <c r="O100" s="51"/>
      <c r="P100" s="51"/>
      <c r="Q100" s="51"/>
      <c r="R100" s="51"/>
      <c r="S100" s="51"/>
      <c r="T100" s="51"/>
      <c r="U100" s="51"/>
      <c r="V100" s="51"/>
    </row>
    <row r="101" spans="3:22" ht="18.399999999999999">
      <c r="C101" s="40" t="s">
        <v>704</v>
      </c>
      <c r="D101" s="88">
        <v>0.65</v>
      </c>
      <c r="E101" s="88">
        <v>0.8</v>
      </c>
      <c r="F101" s="88">
        <v>0.3</v>
      </c>
      <c r="G101" s="88">
        <v>6.3E-2</v>
      </c>
      <c r="H101" s="88">
        <v>0.15</v>
      </c>
      <c r="I101" s="88">
        <v>0.18</v>
      </c>
      <c r="J101" s="88" t="s">
        <v>198</v>
      </c>
      <c r="K101" s="88">
        <v>0.1</v>
      </c>
      <c r="L101" s="88">
        <v>0.38</v>
      </c>
      <c r="M101" s="88">
        <v>0.2</v>
      </c>
      <c r="N101" s="88">
        <v>0.32</v>
      </c>
      <c r="O101" s="88" t="s">
        <v>198</v>
      </c>
      <c r="P101" s="90">
        <v>1.7999999999999999E-2</v>
      </c>
      <c r="Q101" s="88">
        <v>0.18</v>
      </c>
      <c r="R101" s="88">
        <v>0.28999999999999998</v>
      </c>
      <c r="S101" s="88">
        <v>0.5</v>
      </c>
      <c r="T101" s="88">
        <v>1</v>
      </c>
      <c r="U101" s="88" t="s">
        <v>614</v>
      </c>
      <c r="V101" s="88" t="s">
        <v>614</v>
      </c>
    </row>
    <row r="102" spans="3:22" ht="18.399999999999999">
      <c r="C102" s="40" t="s">
        <v>615</v>
      </c>
      <c r="D102" s="88" t="s">
        <v>198</v>
      </c>
      <c r="E102" s="88">
        <v>0.21</v>
      </c>
      <c r="F102" s="88">
        <v>0.21</v>
      </c>
      <c r="G102" s="88" t="s">
        <v>198</v>
      </c>
      <c r="H102" s="90">
        <v>5.8999999999999997E-2</v>
      </c>
      <c r="I102" s="88">
        <v>4.4999999999999998E-2</v>
      </c>
      <c r="J102" s="88" t="s">
        <v>198</v>
      </c>
      <c r="K102" s="88">
        <v>0.11</v>
      </c>
      <c r="L102" s="88">
        <v>7.5999999999999998E-2</v>
      </c>
      <c r="M102" s="88">
        <v>0.06</v>
      </c>
      <c r="N102" s="88">
        <v>3.1E-2</v>
      </c>
      <c r="O102" s="88" t="s">
        <v>198</v>
      </c>
      <c r="P102" s="90">
        <v>3.7999999999999999E-2</v>
      </c>
      <c r="Q102" s="88">
        <v>0.04</v>
      </c>
      <c r="R102" s="88">
        <v>3.4000000000000002E-2</v>
      </c>
      <c r="S102" s="88" t="s">
        <v>198</v>
      </c>
      <c r="T102" s="88" t="s">
        <v>198</v>
      </c>
      <c r="U102" s="88" t="s">
        <v>614</v>
      </c>
      <c r="V102" s="88" t="s">
        <v>614</v>
      </c>
    </row>
    <row r="103" spans="3:22" ht="18.399999999999999">
      <c r="C103" s="40" t="s">
        <v>616</v>
      </c>
      <c r="D103" s="88">
        <v>6.0999999999999999E-2</v>
      </c>
      <c r="E103" s="88" t="s">
        <v>198</v>
      </c>
      <c r="F103" s="88">
        <v>0.18</v>
      </c>
      <c r="G103" s="88" t="s">
        <v>198</v>
      </c>
      <c r="H103" s="88">
        <v>6.2E-2</v>
      </c>
      <c r="I103" s="88">
        <v>2.7E-2</v>
      </c>
      <c r="J103" s="88" t="s">
        <v>198</v>
      </c>
      <c r="K103" s="88">
        <v>8.3000000000000004E-2</v>
      </c>
      <c r="L103" s="88">
        <v>6.2E-2</v>
      </c>
      <c r="M103" s="88">
        <v>4.3999999999999997E-2</v>
      </c>
      <c r="N103" s="88">
        <v>1.0999999999999999E-2</v>
      </c>
      <c r="O103" s="88" t="s">
        <v>198</v>
      </c>
      <c r="P103" s="88" t="s">
        <v>198</v>
      </c>
      <c r="Q103" s="88">
        <v>0.02</v>
      </c>
      <c r="R103" s="88">
        <v>4.1000000000000002E-2</v>
      </c>
      <c r="S103" s="88" t="s">
        <v>198</v>
      </c>
      <c r="T103" s="88" t="s">
        <v>198</v>
      </c>
      <c r="U103" s="88" t="s">
        <v>614</v>
      </c>
      <c r="V103" s="88" t="s">
        <v>614</v>
      </c>
    </row>
    <row r="104" spans="3:22" ht="18.399999999999999">
      <c r="C104" s="40" t="s">
        <v>617</v>
      </c>
      <c r="D104" s="88" t="s">
        <v>198</v>
      </c>
      <c r="E104" s="88" t="s">
        <v>198</v>
      </c>
      <c r="F104" s="88" t="s">
        <v>198</v>
      </c>
      <c r="G104" s="88" t="s">
        <v>198</v>
      </c>
      <c r="H104" s="88" t="s">
        <v>198</v>
      </c>
      <c r="I104" s="88" t="s">
        <v>198</v>
      </c>
      <c r="J104" s="88" t="s">
        <v>198</v>
      </c>
      <c r="K104" s="88">
        <v>1.2E-4</v>
      </c>
      <c r="L104" s="88" t="s">
        <v>198</v>
      </c>
      <c r="M104" s="88" t="s">
        <v>198</v>
      </c>
      <c r="N104" s="88" t="s">
        <v>198</v>
      </c>
      <c r="O104" s="88" t="s">
        <v>198</v>
      </c>
      <c r="P104" s="88" t="s">
        <v>198</v>
      </c>
      <c r="Q104" s="88" t="s">
        <v>198</v>
      </c>
      <c r="R104" s="88" t="s">
        <v>198</v>
      </c>
      <c r="S104" s="88" t="s">
        <v>198</v>
      </c>
      <c r="T104" s="88" t="s">
        <v>198</v>
      </c>
      <c r="U104" s="88" t="s">
        <v>198</v>
      </c>
      <c r="V104" s="88" t="s">
        <v>198</v>
      </c>
    </row>
    <row r="105" spans="3:22" ht="18.399999999999999">
      <c r="C105" s="40" t="s">
        <v>618</v>
      </c>
      <c r="D105" s="90">
        <v>1.5E-3</v>
      </c>
      <c r="E105" s="88" t="s">
        <v>198</v>
      </c>
      <c r="F105" s="88" t="s">
        <v>198</v>
      </c>
      <c r="G105" s="88" t="s">
        <v>198</v>
      </c>
      <c r="H105" s="88" t="s">
        <v>198</v>
      </c>
      <c r="I105" s="90">
        <v>8.9999999999999993E-3</v>
      </c>
      <c r="J105" s="88" t="s">
        <v>198</v>
      </c>
      <c r="K105" s="88" t="s">
        <v>198</v>
      </c>
      <c r="L105" s="88">
        <v>1E-4</v>
      </c>
      <c r="M105" s="88" t="s">
        <v>198</v>
      </c>
      <c r="N105" s="88">
        <v>1.1999999999999999E-3</v>
      </c>
      <c r="O105" s="88" t="s">
        <v>198</v>
      </c>
      <c r="P105" s="88" t="s">
        <v>198</v>
      </c>
      <c r="Q105" s="88" t="s">
        <v>198</v>
      </c>
      <c r="R105" s="88" t="s">
        <v>198</v>
      </c>
      <c r="S105" s="88" t="s">
        <v>198</v>
      </c>
      <c r="T105" s="88" t="s">
        <v>198</v>
      </c>
      <c r="U105" s="88" t="s">
        <v>198</v>
      </c>
      <c r="V105" s="88" t="s">
        <v>198</v>
      </c>
    </row>
    <row r="106" spans="3:22" ht="18.399999999999999">
      <c r="C106" s="40" t="s">
        <v>619</v>
      </c>
      <c r="D106" s="90">
        <v>3.3E-3</v>
      </c>
      <c r="E106" s="88" t="s">
        <v>198</v>
      </c>
      <c r="F106" s="88" t="s">
        <v>198</v>
      </c>
      <c r="G106" s="88" t="s">
        <v>198</v>
      </c>
      <c r="H106" s="90">
        <v>5.1000000000000004E-3</v>
      </c>
      <c r="I106" s="88" t="s">
        <v>198</v>
      </c>
      <c r="J106" s="88" t="s">
        <v>198</v>
      </c>
      <c r="K106" s="88" t="s">
        <v>198</v>
      </c>
      <c r="L106" s="88">
        <v>6.7000000000000002E-4</v>
      </c>
      <c r="M106" s="88">
        <v>7.1999999999999995E-2</v>
      </c>
      <c r="N106" s="88">
        <v>7.0000000000000001E-3</v>
      </c>
      <c r="O106" s="88" t="s">
        <v>198</v>
      </c>
      <c r="P106" s="88" t="s">
        <v>198</v>
      </c>
      <c r="Q106" s="88" t="s">
        <v>198</v>
      </c>
      <c r="R106" s="88" t="s">
        <v>198</v>
      </c>
      <c r="S106" s="88" t="s">
        <v>198</v>
      </c>
      <c r="T106" s="88" t="s">
        <v>198</v>
      </c>
      <c r="U106" s="88" t="s">
        <v>198</v>
      </c>
      <c r="V106" s="88" t="s">
        <v>198</v>
      </c>
    </row>
    <row r="107" spans="3:22" ht="18.399999999999999">
      <c r="C107" s="40" t="s">
        <v>621</v>
      </c>
      <c r="D107" s="90">
        <v>5.3E-3</v>
      </c>
      <c r="E107" s="88" t="s">
        <v>198</v>
      </c>
      <c r="F107" s="90">
        <v>7.2999999999999996E-4</v>
      </c>
      <c r="G107" s="88" t="s">
        <v>198</v>
      </c>
      <c r="H107" s="90">
        <v>6.4999999999999997E-4</v>
      </c>
      <c r="I107" s="90">
        <v>2.2000000000000001E-3</v>
      </c>
      <c r="J107" s="88" t="s">
        <v>198</v>
      </c>
      <c r="K107" s="88" t="s">
        <v>198</v>
      </c>
      <c r="L107" s="88">
        <v>3.6999999999999998E-2</v>
      </c>
      <c r="M107" s="88">
        <v>4.4000000000000003E-3</v>
      </c>
      <c r="N107" s="88" t="s">
        <v>198</v>
      </c>
      <c r="O107" s="88" t="s">
        <v>198</v>
      </c>
      <c r="P107" s="88" t="s">
        <v>198</v>
      </c>
      <c r="Q107" s="88">
        <v>3.5999999999999999E-3</v>
      </c>
      <c r="R107" s="88">
        <v>8.2000000000000007E-3</v>
      </c>
      <c r="S107" s="88" t="s">
        <v>198</v>
      </c>
      <c r="T107" s="88" t="s">
        <v>198</v>
      </c>
      <c r="U107" s="88" t="s">
        <v>198</v>
      </c>
      <c r="V107" s="88" t="s">
        <v>198</v>
      </c>
    </row>
    <row r="108" spans="3:22" ht="18.399999999999999">
      <c r="C108" s="40" t="s">
        <v>623</v>
      </c>
      <c r="D108" s="90">
        <v>1.4E-2</v>
      </c>
      <c r="E108" s="88" t="s">
        <v>198</v>
      </c>
      <c r="F108" s="88" t="s">
        <v>198</v>
      </c>
      <c r="G108" s="88" t="s">
        <v>198</v>
      </c>
      <c r="H108" s="90">
        <v>3.0000000000000001E-5</v>
      </c>
      <c r="I108" s="90">
        <v>1.4E-3</v>
      </c>
      <c r="J108" s="88" t="s">
        <v>198</v>
      </c>
      <c r="K108" s="88" t="s">
        <v>198</v>
      </c>
      <c r="L108" s="88">
        <v>2.5999999999999999E-3</v>
      </c>
      <c r="M108" s="88" t="s">
        <v>198</v>
      </c>
      <c r="N108" s="88">
        <v>2.3E-3</v>
      </c>
      <c r="O108" s="88" t="s">
        <v>198</v>
      </c>
      <c r="P108" s="88" t="s">
        <v>198</v>
      </c>
      <c r="Q108" s="88">
        <v>3.8999999999999999E-4</v>
      </c>
      <c r="R108" s="88">
        <v>2.0000000000000002E-5</v>
      </c>
      <c r="S108" s="88" t="s">
        <v>198</v>
      </c>
      <c r="T108" s="88" t="s">
        <v>198</v>
      </c>
      <c r="U108" s="88" t="s">
        <v>198</v>
      </c>
      <c r="V108" s="88" t="s">
        <v>198</v>
      </c>
    </row>
    <row r="109" spans="3:22" ht="18.399999999999999">
      <c r="C109" s="40" t="s">
        <v>624</v>
      </c>
      <c r="D109" s="90">
        <v>1.2999999999999999E-2</v>
      </c>
      <c r="E109" s="88" t="s">
        <v>198</v>
      </c>
      <c r="F109" s="90">
        <v>1.2E-2</v>
      </c>
      <c r="G109" s="88" t="s">
        <v>198</v>
      </c>
      <c r="H109" s="90">
        <v>1.7000000000000001E-2</v>
      </c>
      <c r="I109" s="90">
        <v>2.9000000000000001E-2</v>
      </c>
      <c r="J109" s="88" t="s">
        <v>198</v>
      </c>
      <c r="K109" s="88">
        <v>6.8999999999999999E-3</v>
      </c>
      <c r="L109" s="88" t="s">
        <v>198</v>
      </c>
      <c r="M109" s="88">
        <v>5.7000000000000002E-2</v>
      </c>
      <c r="N109" s="88">
        <v>1.6E-2</v>
      </c>
      <c r="O109" s="88" t="s">
        <v>198</v>
      </c>
      <c r="P109" s="88" t="s">
        <v>198</v>
      </c>
      <c r="Q109" s="88">
        <v>1.0999999999999999E-2</v>
      </c>
      <c r="R109" s="88">
        <v>3.8999999999999998E-3</v>
      </c>
      <c r="S109" s="88" t="s">
        <v>198</v>
      </c>
      <c r="T109" s="88" t="s">
        <v>198</v>
      </c>
      <c r="U109" s="88" t="s">
        <v>198</v>
      </c>
      <c r="V109" s="88" t="s">
        <v>198</v>
      </c>
    </row>
    <row r="110" spans="3:22" ht="18.399999999999999">
      <c r="C110" s="5" t="s">
        <v>706</v>
      </c>
    </row>
    <row r="111" spans="3:22" ht="15.4">
      <c r="C111" s="5" t="s">
        <v>707</v>
      </c>
    </row>
    <row r="112" spans="3:22" ht="15.4"/>
    <row r="113" spans="2:3" ht="15.4">
      <c r="B113" s="78" t="s">
        <v>708</v>
      </c>
    </row>
    <row r="114" spans="2:3" ht="15.4">
      <c r="C114" s="5" t="s">
        <v>577</v>
      </c>
    </row>
    <row r="115" spans="2:3" ht="15.4"/>
    <row r="116" spans="2:3" ht="15.4"/>
    <row r="117" spans="2:3" ht="15.4">
      <c r="C117" s="5" t="s">
        <v>709</v>
      </c>
    </row>
    <row r="118" spans="2:3" ht="15.4"/>
    <row r="119" spans="2:3" ht="15.4">
      <c r="C119" s="5" t="s">
        <v>710</v>
      </c>
    </row>
    <row r="120" spans="2:3" ht="15.4"/>
    <row r="121" spans="2:3" ht="15.4"/>
    <row r="122" spans="2:3" ht="18.399999999999999">
      <c r="C122" s="5" t="s">
        <v>711</v>
      </c>
    </row>
    <row r="123" spans="2:3" ht="15.4"/>
    <row r="124" spans="2:3" ht="15.4"/>
    <row r="125" spans="2:3" ht="18.399999999999999">
      <c r="C125" s="5" t="s">
        <v>712</v>
      </c>
    </row>
    <row r="126" spans="2:3" ht="15.4">
      <c r="C126" s="5" t="s">
        <v>713</v>
      </c>
    </row>
    <row r="127" spans="2:3" ht="15.4"/>
    <row r="128" spans="2:3" ht="15.4">
      <c r="C128" s="5" t="s">
        <v>714</v>
      </c>
    </row>
    <row r="129" spans="3:3" ht="15.4"/>
    <row r="130" spans="3:3" ht="15.4"/>
    <row r="131" spans="3:3" ht="15.4">
      <c r="C131" s="5" t="s">
        <v>715</v>
      </c>
    </row>
    <row r="132" spans="3:3" ht="15.4"/>
    <row r="133" spans="3:3" ht="15.4">
      <c r="C133" s="5" t="s">
        <v>716</v>
      </c>
    </row>
    <row r="134" spans="3:3" ht="15.4"/>
    <row r="135" spans="3:3" ht="15.4"/>
    <row r="136" spans="3:3" ht="18.399999999999999">
      <c r="C136" s="5" t="s">
        <v>717</v>
      </c>
    </row>
    <row r="137" spans="3:3" ht="15.4">
      <c r="C137" s="5" t="s">
        <v>718</v>
      </c>
    </row>
    <row r="138" spans="3:3" ht="15.4"/>
    <row r="139" spans="3:3" ht="18.399999999999999">
      <c r="C139" s="5" t="s">
        <v>589</v>
      </c>
    </row>
    <row r="140" spans="3:3" ht="15.4"/>
    <row r="141" spans="3:3" ht="15.4"/>
    <row r="142" spans="3:3" ht="18.399999999999999">
      <c r="C142" s="5" t="s">
        <v>719</v>
      </c>
    </row>
    <row r="143" spans="3:3" ht="15.4">
      <c r="C143" s="5" t="s">
        <v>720</v>
      </c>
    </row>
    <row r="144" spans="3:3" ht="15.4"/>
    <row r="145" spans="3:20" ht="16.149999999999999">
      <c r="C145" s="78" t="s">
        <v>721</v>
      </c>
    </row>
    <row r="146" spans="3:20" ht="16.25" customHeight="1">
      <c r="C146" s="44" t="s">
        <v>722</v>
      </c>
      <c r="D146" s="44"/>
      <c r="E146" s="44"/>
      <c r="F146" s="44"/>
      <c r="G146" s="44"/>
      <c r="H146" s="44"/>
      <c r="I146" s="44"/>
      <c r="J146" s="44"/>
      <c r="K146" s="44"/>
      <c r="L146" s="44"/>
      <c r="M146" s="44"/>
      <c r="N146" s="44"/>
      <c r="O146" s="44"/>
      <c r="P146" s="44"/>
      <c r="Q146" s="44"/>
      <c r="R146" s="44"/>
      <c r="S146" s="44"/>
      <c r="T146" s="44"/>
    </row>
    <row r="147" spans="3:20" ht="33.75">
      <c r="C147" s="84" t="s">
        <v>696</v>
      </c>
      <c r="D147" s="24" t="s">
        <v>652</v>
      </c>
      <c r="E147" s="24" t="s">
        <v>654</v>
      </c>
      <c r="F147" s="24" t="s">
        <v>655</v>
      </c>
      <c r="G147" s="24" t="s">
        <v>656</v>
      </c>
      <c r="H147" s="24" t="s">
        <v>657</v>
      </c>
      <c r="I147" s="24" t="s">
        <v>658</v>
      </c>
      <c r="J147" s="24" t="s">
        <v>659</v>
      </c>
      <c r="K147" s="24" t="s">
        <v>660</v>
      </c>
      <c r="L147" s="24" t="s">
        <v>661</v>
      </c>
      <c r="M147" s="24" t="s">
        <v>662</v>
      </c>
      <c r="N147" s="24" t="s">
        <v>663</v>
      </c>
      <c r="O147" s="24" t="s">
        <v>664</v>
      </c>
      <c r="P147" s="24" t="s">
        <v>665</v>
      </c>
      <c r="Q147" s="24" t="s">
        <v>699</v>
      </c>
      <c r="R147" s="24" t="s">
        <v>700</v>
      </c>
      <c r="S147" s="24" t="s">
        <v>701</v>
      </c>
      <c r="T147" s="24" t="s">
        <v>702</v>
      </c>
    </row>
    <row r="148" spans="3:20" ht="15.4">
      <c r="C148" s="94" t="s">
        <v>723</v>
      </c>
      <c r="D148" s="94"/>
      <c r="E148" s="94"/>
      <c r="F148" s="94"/>
      <c r="G148" s="94"/>
      <c r="H148" s="94"/>
      <c r="I148" s="94"/>
      <c r="J148" s="94"/>
      <c r="K148" s="94"/>
      <c r="L148" s="94"/>
      <c r="M148" s="94"/>
      <c r="N148" s="94"/>
      <c r="O148" s="94"/>
      <c r="P148" s="94"/>
      <c r="Q148" s="94"/>
      <c r="R148" s="94"/>
      <c r="S148" s="94"/>
      <c r="T148" s="94"/>
    </row>
    <row r="149" spans="3:20" ht="18.399999999999999">
      <c r="C149" s="40" t="s">
        <v>704</v>
      </c>
      <c r="D149" s="40">
        <v>0.73</v>
      </c>
      <c r="E149" s="40">
        <v>0.72</v>
      </c>
      <c r="F149" s="40" t="s">
        <v>198</v>
      </c>
      <c r="G149" s="40">
        <v>8.3000000000000004E-2</v>
      </c>
      <c r="H149" s="40">
        <v>0.14000000000000001</v>
      </c>
      <c r="I149" s="40" t="s">
        <v>614</v>
      </c>
      <c r="J149" s="40">
        <v>7.1999999999999995E-2</v>
      </c>
      <c r="K149" s="40">
        <v>0.51</v>
      </c>
      <c r="L149" s="40">
        <v>0.13</v>
      </c>
      <c r="M149" s="40">
        <v>0.7</v>
      </c>
      <c r="N149" s="40">
        <v>6.4000000000000001E-2</v>
      </c>
      <c r="O149" s="40">
        <v>0.19</v>
      </c>
      <c r="P149" s="40">
        <v>0.55000000000000004</v>
      </c>
      <c r="Q149" s="40" t="s">
        <v>198</v>
      </c>
      <c r="R149" s="40" t="s">
        <v>198</v>
      </c>
      <c r="S149" s="40" t="s">
        <v>614</v>
      </c>
      <c r="T149" s="40" t="s">
        <v>614</v>
      </c>
    </row>
    <row r="150" spans="3:20" ht="18.399999999999999">
      <c r="C150" s="40" t="s">
        <v>615</v>
      </c>
      <c r="D150" s="40" t="s">
        <v>198</v>
      </c>
      <c r="E150" s="40">
        <v>0.1</v>
      </c>
      <c r="F150" s="40" t="s">
        <v>198</v>
      </c>
      <c r="G150" s="40">
        <v>9.5000000000000001E-2</v>
      </c>
      <c r="H150" s="40">
        <v>0.11</v>
      </c>
      <c r="I150" s="40" t="s">
        <v>614</v>
      </c>
      <c r="J150" s="40" t="s">
        <v>198</v>
      </c>
      <c r="K150" s="40">
        <v>8.5000000000000006E-2</v>
      </c>
      <c r="L150" s="40">
        <v>7.9000000000000001E-2</v>
      </c>
      <c r="M150" s="40" t="s">
        <v>198</v>
      </c>
      <c r="N150" s="40">
        <v>7.6999999999999999E-2</v>
      </c>
      <c r="O150" s="40">
        <v>4.0000000000000001E-3</v>
      </c>
      <c r="P150" s="40">
        <v>0.13</v>
      </c>
      <c r="Q150" s="40" t="s">
        <v>198</v>
      </c>
      <c r="R150" s="40" t="s">
        <v>198</v>
      </c>
      <c r="S150" s="40" t="s">
        <v>614</v>
      </c>
      <c r="T150" s="40" t="s">
        <v>614</v>
      </c>
    </row>
    <row r="151" spans="3:20" ht="18.399999999999999">
      <c r="C151" s="40" t="s">
        <v>616</v>
      </c>
      <c r="D151" s="40">
        <v>4.1000000000000002E-2</v>
      </c>
      <c r="E151" s="40" t="s">
        <v>198</v>
      </c>
      <c r="F151" s="40" t="s">
        <v>198</v>
      </c>
      <c r="G151" s="40">
        <v>7.2999999999999995E-2</v>
      </c>
      <c r="H151" s="40">
        <v>3.6999999999999998E-2</v>
      </c>
      <c r="I151" s="40" t="s">
        <v>614</v>
      </c>
      <c r="J151" s="40">
        <v>1.4E-2</v>
      </c>
      <c r="K151" s="40">
        <v>3.5000000000000003E-2</v>
      </c>
      <c r="L151" s="40">
        <v>2.5000000000000001E-2</v>
      </c>
      <c r="M151" s="40">
        <v>3.3999999999999998E-3</v>
      </c>
      <c r="N151" s="40">
        <v>2.4E-2</v>
      </c>
      <c r="O151" s="40">
        <v>2.5000000000000001E-2</v>
      </c>
      <c r="P151" s="40">
        <v>0.11</v>
      </c>
      <c r="Q151" s="40" t="s">
        <v>198</v>
      </c>
      <c r="R151" s="40" t="s">
        <v>198</v>
      </c>
      <c r="S151" s="40" t="s">
        <v>614</v>
      </c>
      <c r="T151" s="40" t="s">
        <v>614</v>
      </c>
    </row>
    <row r="152" spans="3:20" ht="18.399999999999999">
      <c r="C152" s="40" t="s">
        <v>620</v>
      </c>
      <c r="D152" s="40">
        <v>1.1999999999999999E-3</v>
      </c>
      <c r="E152" s="40" t="s">
        <v>198</v>
      </c>
      <c r="F152" s="40" t="s">
        <v>198</v>
      </c>
      <c r="G152" s="40" t="s">
        <v>198</v>
      </c>
      <c r="H152" s="40">
        <v>8.6E-3</v>
      </c>
      <c r="I152" s="40" t="s">
        <v>198</v>
      </c>
      <c r="J152" s="40" t="s">
        <v>198</v>
      </c>
      <c r="K152" s="40">
        <v>1.1999999999999999E-3</v>
      </c>
      <c r="L152" s="40" t="s">
        <v>198</v>
      </c>
      <c r="M152" s="40" t="s">
        <v>198</v>
      </c>
      <c r="N152" s="40" t="s">
        <v>198</v>
      </c>
      <c r="O152" s="40" t="s">
        <v>198</v>
      </c>
      <c r="P152" s="40" t="s">
        <v>198</v>
      </c>
      <c r="Q152" s="40" t="s">
        <v>198</v>
      </c>
      <c r="R152" s="40" t="s">
        <v>198</v>
      </c>
      <c r="S152" s="40" t="s">
        <v>198</v>
      </c>
      <c r="T152" s="40" t="s">
        <v>198</v>
      </c>
    </row>
    <row r="153" spans="3:20" ht="18.399999999999999">
      <c r="C153" s="40" t="s">
        <v>624</v>
      </c>
      <c r="D153" s="40">
        <v>9.0999999999999998E-2</v>
      </c>
      <c r="E153" s="40">
        <v>4.7E-2</v>
      </c>
      <c r="F153" s="40" t="s">
        <v>198</v>
      </c>
      <c r="G153" s="40">
        <v>6.6000000000000003E-2</v>
      </c>
      <c r="H153" s="40">
        <v>0.04</v>
      </c>
      <c r="I153" s="40" t="s">
        <v>198</v>
      </c>
      <c r="J153" s="40">
        <v>3.8999999999999998E-3</v>
      </c>
      <c r="K153" s="40" t="s">
        <v>198</v>
      </c>
      <c r="L153" s="40">
        <v>4.9000000000000002E-2</v>
      </c>
      <c r="M153" s="40" t="s">
        <v>198</v>
      </c>
      <c r="N153" s="40" t="s">
        <v>198</v>
      </c>
      <c r="O153" s="40" t="s">
        <v>198</v>
      </c>
      <c r="P153" s="40">
        <v>1.1999999999999999E-3</v>
      </c>
      <c r="Q153" s="40" t="s">
        <v>198</v>
      </c>
      <c r="R153" s="40" t="s">
        <v>198</v>
      </c>
      <c r="S153" s="40" t="s">
        <v>198</v>
      </c>
      <c r="T153" s="40" t="s">
        <v>198</v>
      </c>
    </row>
    <row r="154" spans="3:20" ht="15.4">
      <c r="C154" s="94" t="s">
        <v>724</v>
      </c>
      <c r="D154" s="94"/>
      <c r="E154" s="94"/>
      <c r="F154" s="94"/>
      <c r="G154" s="94"/>
      <c r="H154" s="94"/>
      <c r="I154" s="94"/>
      <c r="J154" s="94"/>
      <c r="K154" s="94"/>
      <c r="L154" s="94"/>
      <c r="M154" s="94"/>
      <c r="N154" s="94"/>
      <c r="O154" s="94"/>
      <c r="P154" s="94"/>
      <c r="Q154" s="94"/>
      <c r="R154" s="94"/>
      <c r="S154" s="94"/>
      <c r="T154" s="94"/>
    </row>
    <row r="155" spans="3:20" ht="18.399999999999999">
      <c r="C155" s="40" t="s">
        <v>704</v>
      </c>
      <c r="D155" s="40" t="s">
        <v>198</v>
      </c>
      <c r="E155" s="40" t="s">
        <v>198</v>
      </c>
      <c r="F155" s="40" t="s">
        <v>198</v>
      </c>
      <c r="G155" s="40" t="s">
        <v>198</v>
      </c>
      <c r="H155" s="40" t="s">
        <v>198</v>
      </c>
      <c r="I155" s="40" t="s">
        <v>198</v>
      </c>
      <c r="J155" s="40" t="s">
        <v>198</v>
      </c>
      <c r="K155" s="40" t="s">
        <v>198</v>
      </c>
      <c r="L155" s="40" t="s">
        <v>198</v>
      </c>
      <c r="M155" s="40" t="s">
        <v>198</v>
      </c>
      <c r="N155" s="40" t="s">
        <v>198</v>
      </c>
      <c r="O155" s="40">
        <v>2.8000000000000001E-2</v>
      </c>
      <c r="P155" s="40" t="s">
        <v>198</v>
      </c>
      <c r="Q155" s="40" t="s">
        <v>198</v>
      </c>
      <c r="R155" s="40" t="s">
        <v>198</v>
      </c>
      <c r="S155" s="40" t="s">
        <v>198</v>
      </c>
      <c r="T155" s="40" t="s">
        <v>198</v>
      </c>
    </row>
    <row r="156" spans="3:20" ht="18.399999999999999">
      <c r="C156" s="40" t="s">
        <v>615</v>
      </c>
      <c r="D156" s="40" t="s">
        <v>198</v>
      </c>
      <c r="E156" s="40" t="s">
        <v>198</v>
      </c>
      <c r="F156" s="40" t="s">
        <v>198</v>
      </c>
      <c r="G156" s="40" t="s">
        <v>198</v>
      </c>
      <c r="H156" s="40" t="s">
        <v>198</v>
      </c>
      <c r="I156" s="40" t="s">
        <v>198</v>
      </c>
      <c r="J156" s="40" t="s">
        <v>198</v>
      </c>
      <c r="K156" s="40" t="s">
        <v>198</v>
      </c>
      <c r="L156" s="40" t="s">
        <v>198</v>
      </c>
      <c r="M156" s="40" t="s">
        <v>198</v>
      </c>
      <c r="N156" s="40" t="s">
        <v>198</v>
      </c>
      <c r="O156" s="40">
        <v>1.4999999999999999E-2</v>
      </c>
      <c r="P156" s="40" t="s">
        <v>198</v>
      </c>
      <c r="Q156" s="40" t="s">
        <v>198</v>
      </c>
      <c r="R156" s="40" t="s">
        <v>198</v>
      </c>
      <c r="S156" s="40" t="s">
        <v>198</v>
      </c>
      <c r="T156" s="40" t="s">
        <v>198</v>
      </c>
    </row>
    <row r="157" spans="3:20" ht="15.4">
      <c r="C157" s="94" t="s">
        <v>725</v>
      </c>
      <c r="D157" s="94"/>
      <c r="E157" s="94"/>
      <c r="F157" s="94"/>
      <c r="G157" s="94"/>
      <c r="H157" s="94"/>
      <c r="I157" s="94"/>
      <c r="J157" s="94"/>
      <c r="K157" s="94"/>
      <c r="L157" s="94"/>
      <c r="M157" s="94"/>
      <c r="N157" s="94"/>
      <c r="O157" s="94"/>
      <c r="P157" s="94"/>
      <c r="Q157" s="94"/>
      <c r="R157" s="94"/>
      <c r="S157" s="94"/>
      <c r="T157" s="94"/>
    </row>
    <row r="158" spans="3:20" ht="18.399999999999999">
      <c r="C158" s="40" t="s">
        <v>704</v>
      </c>
      <c r="D158" s="40">
        <v>0.92</v>
      </c>
      <c r="E158" s="40">
        <v>0.55000000000000004</v>
      </c>
      <c r="F158" s="40">
        <v>0.4</v>
      </c>
      <c r="G158" s="40" t="s">
        <v>198</v>
      </c>
      <c r="H158" s="40">
        <v>0.1</v>
      </c>
      <c r="I158" s="40">
        <v>0.14000000000000001</v>
      </c>
      <c r="J158" s="40" t="s">
        <v>198</v>
      </c>
      <c r="K158" s="40" t="s">
        <v>198</v>
      </c>
      <c r="L158" s="40" t="s">
        <v>198</v>
      </c>
      <c r="M158" s="40" t="s">
        <v>198</v>
      </c>
      <c r="N158" s="40" t="s">
        <v>198</v>
      </c>
      <c r="O158" s="40">
        <v>0.18</v>
      </c>
      <c r="P158" s="40" t="s">
        <v>614</v>
      </c>
      <c r="Q158" s="40" t="s">
        <v>198</v>
      </c>
      <c r="R158" s="40" t="s">
        <v>198</v>
      </c>
      <c r="S158" s="40" t="s">
        <v>614</v>
      </c>
      <c r="T158" s="40" t="s">
        <v>198</v>
      </c>
    </row>
    <row r="159" spans="3:20" ht="18.399999999999999">
      <c r="C159" s="40" t="s">
        <v>615</v>
      </c>
      <c r="D159" s="40" t="s">
        <v>198</v>
      </c>
      <c r="E159" s="40">
        <v>0.19</v>
      </c>
      <c r="F159" s="40">
        <v>0.2</v>
      </c>
      <c r="G159" s="40" t="s">
        <v>198</v>
      </c>
      <c r="H159" s="40">
        <v>0.11</v>
      </c>
      <c r="I159" s="40">
        <v>0.13</v>
      </c>
      <c r="J159" s="40" t="s">
        <v>198</v>
      </c>
      <c r="K159" s="40" t="s">
        <v>198</v>
      </c>
      <c r="L159" s="40" t="s">
        <v>198</v>
      </c>
      <c r="M159" s="40" t="s">
        <v>198</v>
      </c>
      <c r="N159" s="40" t="s">
        <v>198</v>
      </c>
      <c r="O159" s="40">
        <v>0.14000000000000001</v>
      </c>
      <c r="P159" s="40" t="s">
        <v>614</v>
      </c>
      <c r="Q159" s="40" t="s">
        <v>198</v>
      </c>
      <c r="R159" s="40" t="s">
        <v>198</v>
      </c>
      <c r="S159" s="40" t="s">
        <v>614</v>
      </c>
      <c r="T159" s="40" t="s">
        <v>198</v>
      </c>
    </row>
    <row r="160" spans="3:20" ht="18.399999999999999">
      <c r="C160" s="40" t="s">
        <v>616</v>
      </c>
      <c r="D160" s="40" t="s">
        <v>198</v>
      </c>
      <c r="E160" s="40" t="s">
        <v>198</v>
      </c>
      <c r="F160" s="40" t="s">
        <v>198</v>
      </c>
      <c r="G160" s="40" t="s">
        <v>198</v>
      </c>
      <c r="H160" s="40" t="s">
        <v>198</v>
      </c>
      <c r="I160" s="40">
        <v>4.4999999999999998E-2</v>
      </c>
      <c r="J160" s="40" t="s">
        <v>198</v>
      </c>
      <c r="K160" s="40" t="s">
        <v>198</v>
      </c>
      <c r="L160" s="40" t="s">
        <v>198</v>
      </c>
      <c r="M160" s="40" t="s">
        <v>198</v>
      </c>
      <c r="N160" s="40" t="s">
        <v>198</v>
      </c>
      <c r="O160" s="40" t="s">
        <v>198</v>
      </c>
      <c r="P160" s="40" t="s">
        <v>614</v>
      </c>
      <c r="Q160" s="40" t="s">
        <v>198</v>
      </c>
      <c r="R160" s="40" t="s">
        <v>198</v>
      </c>
      <c r="S160" s="40" t="s">
        <v>614</v>
      </c>
      <c r="T160" s="40" t="s">
        <v>198</v>
      </c>
    </row>
    <row r="161" spans="3:20" ht="15.4">
      <c r="C161" s="94" t="s">
        <v>726</v>
      </c>
      <c r="D161" s="94"/>
      <c r="E161" s="94"/>
      <c r="F161" s="94"/>
      <c r="G161" s="94"/>
      <c r="H161" s="94"/>
      <c r="I161" s="94"/>
      <c r="J161" s="94"/>
      <c r="K161" s="94"/>
      <c r="L161" s="94"/>
      <c r="M161" s="94"/>
      <c r="N161" s="94"/>
      <c r="O161" s="94"/>
      <c r="P161" s="94"/>
      <c r="Q161" s="94"/>
      <c r="R161" s="94"/>
      <c r="S161" s="94"/>
      <c r="T161" s="94"/>
    </row>
    <row r="162" spans="3:20" ht="18.399999999999999">
      <c r="C162" s="40" t="s">
        <v>704</v>
      </c>
      <c r="D162" s="40" t="s">
        <v>198</v>
      </c>
      <c r="E162" s="40" t="s">
        <v>198</v>
      </c>
      <c r="F162" s="40" t="s">
        <v>198</v>
      </c>
      <c r="G162" s="40" t="s">
        <v>198</v>
      </c>
      <c r="H162" s="40" t="s">
        <v>198</v>
      </c>
      <c r="I162" s="40" t="s">
        <v>198</v>
      </c>
      <c r="J162" s="40" t="s">
        <v>198</v>
      </c>
      <c r="K162" s="40" t="s">
        <v>198</v>
      </c>
      <c r="L162" s="40" t="s">
        <v>198</v>
      </c>
      <c r="M162" s="40" t="s">
        <v>198</v>
      </c>
      <c r="N162" s="40" t="s">
        <v>198</v>
      </c>
      <c r="O162" s="40" t="s">
        <v>198</v>
      </c>
      <c r="P162" s="40" t="s">
        <v>198</v>
      </c>
      <c r="Q162" s="40">
        <v>1</v>
      </c>
      <c r="R162" s="40" t="s">
        <v>198</v>
      </c>
      <c r="S162" s="40" t="s">
        <v>198</v>
      </c>
      <c r="T162" s="40" t="s">
        <v>198</v>
      </c>
    </row>
    <row r="163" spans="3:20" ht="15.4">
      <c r="C163" s="94" t="s">
        <v>406</v>
      </c>
      <c r="D163" s="94"/>
      <c r="E163" s="94"/>
      <c r="F163" s="94"/>
      <c r="G163" s="94"/>
      <c r="H163" s="94"/>
      <c r="I163" s="94"/>
      <c r="J163" s="94"/>
      <c r="K163" s="94"/>
      <c r="L163" s="94"/>
      <c r="M163" s="94"/>
      <c r="N163" s="94"/>
      <c r="O163" s="94"/>
      <c r="P163" s="94"/>
      <c r="Q163" s="94"/>
      <c r="R163" s="94"/>
      <c r="S163" s="94"/>
      <c r="T163" s="94"/>
    </row>
    <row r="164" spans="3:20" ht="18.399999999999999">
      <c r="C164" s="40" t="s">
        <v>704</v>
      </c>
      <c r="D164" s="40" t="s">
        <v>198</v>
      </c>
      <c r="E164" s="40" t="s">
        <v>198</v>
      </c>
      <c r="F164" s="40" t="s">
        <v>198</v>
      </c>
      <c r="G164" s="40" t="s">
        <v>198</v>
      </c>
      <c r="H164" s="40" t="s">
        <v>198</v>
      </c>
      <c r="I164" s="40" t="s">
        <v>198</v>
      </c>
      <c r="J164" s="40" t="s">
        <v>198</v>
      </c>
      <c r="K164" s="40" t="s">
        <v>198</v>
      </c>
      <c r="L164" s="40" t="s">
        <v>198</v>
      </c>
      <c r="M164" s="40" t="s">
        <v>198</v>
      </c>
      <c r="N164" s="40" t="s">
        <v>198</v>
      </c>
      <c r="O164" s="40" t="s">
        <v>198</v>
      </c>
      <c r="P164" s="40" t="s">
        <v>198</v>
      </c>
      <c r="Q164" s="40" t="s">
        <v>198</v>
      </c>
      <c r="R164" s="40">
        <v>1</v>
      </c>
      <c r="S164" s="40" t="s">
        <v>198</v>
      </c>
      <c r="T164" s="40" t="s">
        <v>198</v>
      </c>
    </row>
    <row r="165" spans="3:20" ht="18.399999999999999">
      <c r="C165" s="5" t="s">
        <v>727</v>
      </c>
    </row>
    <row r="166" spans="3:20" ht="15.4">
      <c r="C166" s="5" t="s">
        <v>728</v>
      </c>
    </row>
    <row r="167" spans="3:20" ht="15.4"/>
    <row r="168" spans="3:20" ht="15.4">
      <c r="C168" s="78" t="s">
        <v>729</v>
      </c>
    </row>
    <row r="169" spans="3:20" ht="15.4">
      <c r="C169" s="44" t="s">
        <v>730</v>
      </c>
      <c r="D169" s="44"/>
      <c r="E169" s="44"/>
      <c r="F169" s="44"/>
      <c r="G169" s="44"/>
      <c r="H169" s="44"/>
      <c r="I169" s="44"/>
      <c r="J169" s="44"/>
      <c r="K169" s="44"/>
      <c r="L169" s="44"/>
      <c r="M169" s="44"/>
      <c r="N169" s="44"/>
      <c r="O169" s="44"/>
      <c r="P169" s="44"/>
      <c r="Q169" s="44"/>
      <c r="R169" s="44"/>
    </row>
    <row r="170" spans="3:20" ht="33.75">
      <c r="C170" s="84" t="s">
        <v>696</v>
      </c>
      <c r="D170" s="24" t="s">
        <v>652</v>
      </c>
      <c r="E170" s="24" t="s">
        <v>654</v>
      </c>
      <c r="F170" s="24" t="s">
        <v>655</v>
      </c>
      <c r="G170" s="24" t="s">
        <v>656</v>
      </c>
      <c r="H170" s="24" t="s">
        <v>657</v>
      </c>
      <c r="I170" s="24" t="s">
        <v>659</v>
      </c>
      <c r="J170" s="24" t="s">
        <v>660</v>
      </c>
      <c r="K170" s="24" t="s">
        <v>661</v>
      </c>
      <c r="L170" s="24" t="s">
        <v>662</v>
      </c>
      <c r="M170" s="24" t="s">
        <v>664</v>
      </c>
      <c r="N170" s="24" t="s">
        <v>665</v>
      </c>
      <c r="O170" s="24" t="s">
        <v>699</v>
      </c>
      <c r="P170" s="24" t="s">
        <v>700</v>
      </c>
      <c r="Q170" s="24" t="s">
        <v>701</v>
      </c>
      <c r="R170" s="24" t="s">
        <v>702</v>
      </c>
    </row>
    <row r="171" spans="3:20" ht="15.4">
      <c r="C171" s="51" t="s">
        <v>723</v>
      </c>
      <c r="D171" s="51"/>
      <c r="E171" s="51"/>
      <c r="F171" s="51"/>
      <c r="G171" s="51"/>
      <c r="H171" s="51"/>
      <c r="I171" s="51"/>
      <c r="J171" s="51"/>
      <c r="K171" s="51"/>
      <c r="L171" s="51"/>
      <c r="M171" s="51"/>
      <c r="N171" s="51"/>
      <c r="O171" s="51"/>
      <c r="P171" s="51"/>
      <c r="Q171" s="51"/>
      <c r="R171" s="51"/>
    </row>
    <row r="172" spans="3:20" ht="18.399999999999999">
      <c r="C172" s="40" t="s">
        <v>704</v>
      </c>
      <c r="D172" s="40">
        <v>0.65</v>
      </c>
      <c r="E172" s="40">
        <v>0.8</v>
      </c>
      <c r="F172" s="40">
        <v>0.3</v>
      </c>
      <c r="G172" s="40">
        <v>0.15</v>
      </c>
      <c r="H172" s="40">
        <v>0.18</v>
      </c>
      <c r="I172" s="40">
        <v>0.1</v>
      </c>
      <c r="J172" s="40">
        <v>0.38</v>
      </c>
      <c r="K172" s="40">
        <v>0.2</v>
      </c>
      <c r="L172" s="40">
        <v>0.32</v>
      </c>
      <c r="M172" s="40">
        <v>0.16</v>
      </c>
      <c r="N172" s="40">
        <v>0.28999999999999998</v>
      </c>
      <c r="O172" s="40" t="s">
        <v>198</v>
      </c>
      <c r="P172" s="40" t="s">
        <v>198</v>
      </c>
      <c r="Q172" s="40" t="s">
        <v>614</v>
      </c>
      <c r="R172" s="40" t="s">
        <v>614</v>
      </c>
    </row>
    <row r="173" spans="3:20" ht="18.399999999999999">
      <c r="C173" s="40" t="s">
        <v>615</v>
      </c>
      <c r="D173" s="40" t="s">
        <v>198</v>
      </c>
      <c r="E173" s="40">
        <v>0.21</v>
      </c>
      <c r="F173" s="40">
        <v>0.21</v>
      </c>
      <c r="G173" s="40">
        <v>5.8999999999999997E-2</v>
      </c>
      <c r="H173" s="40">
        <v>4.4999999999999998E-2</v>
      </c>
      <c r="I173" s="40">
        <v>0.11</v>
      </c>
      <c r="J173" s="40">
        <v>7.5999999999999998E-2</v>
      </c>
      <c r="K173" s="40">
        <v>0.06</v>
      </c>
      <c r="L173" s="40">
        <v>3.1E-2</v>
      </c>
      <c r="M173" s="40">
        <v>4.4999999999999998E-2</v>
      </c>
      <c r="N173" s="40">
        <v>3.4000000000000002E-2</v>
      </c>
      <c r="O173" s="40" t="s">
        <v>198</v>
      </c>
      <c r="P173" s="40" t="s">
        <v>198</v>
      </c>
      <c r="Q173" s="40" t="s">
        <v>614</v>
      </c>
      <c r="R173" s="40" t="s">
        <v>614</v>
      </c>
    </row>
    <row r="174" spans="3:20" ht="18.399999999999999">
      <c r="C174" s="40" t="s">
        <v>616</v>
      </c>
      <c r="D174" s="40">
        <v>6.0999999999999999E-2</v>
      </c>
      <c r="E174" s="40" t="s">
        <v>198</v>
      </c>
      <c r="F174" s="40">
        <v>0.18</v>
      </c>
      <c r="G174" s="40">
        <v>6.2E-2</v>
      </c>
      <c r="H174" s="40">
        <v>2.7E-2</v>
      </c>
      <c r="I174" s="40">
        <v>8.3000000000000004E-2</v>
      </c>
      <c r="J174" s="40">
        <v>6.2E-2</v>
      </c>
      <c r="K174" s="40">
        <v>4.3999999999999997E-2</v>
      </c>
      <c r="L174" s="40">
        <v>1.0999999999999999E-2</v>
      </c>
      <c r="M174" s="40">
        <v>4.4999999999999998E-2</v>
      </c>
      <c r="N174" s="40">
        <v>4.1000000000000002E-2</v>
      </c>
      <c r="O174" s="40" t="s">
        <v>198</v>
      </c>
      <c r="P174" s="40" t="s">
        <v>198</v>
      </c>
      <c r="Q174" s="40" t="s">
        <v>614</v>
      </c>
      <c r="R174" s="40" t="s">
        <v>614</v>
      </c>
    </row>
    <row r="175" spans="3:20" ht="18.399999999999999">
      <c r="C175" s="40" t="s">
        <v>617</v>
      </c>
      <c r="D175" s="40" t="s">
        <v>198</v>
      </c>
      <c r="E175" s="40" t="s">
        <v>198</v>
      </c>
      <c r="F175" s="40" t="s">
        <v>198</v>
      </c>
      <c r="G175" s="40" t="s">
        <v>198</v>
      </c>
      <c r="H175" s="40" t="s">
        <v>198</v>
      </c>
      <c r="I175" s="40">
        <v>1.2E-4</v>
      </c>
      <c r="J175" s="40" t="s">
        <v>198</v>
      </c>
      <c r="K175" s="40" t="s">
        <v>198</v>
      </c>
      <c r="L175" s="40" t="s">
        <v>198</v>
      </c>
      <c r="M175" s="40" t="s">
        <v>198</v>
      </c>
      <c r="N175" s="40" t="s">
        <v>198</v>
      </c>
      <c r="O175" s="40" t="s">
        <v>198</v>
      </c>
      <c r="P175" s="40" t="s">
        <v>198</v>
      </c>
      <c r="Q175" s="40" t="s">
        <v>198</v>
      </c>
      <c r="R175" s="40" t="s">
        <v>198</v>
      </c>
    </row>
    <row r="176" spans="3:20" ht="18.399999999999999">
      <c r="C176" s="40" t="s">
        <v>618</v>
      </c>
      <c r="D176" s="40">
        <v>1.5E-3</v>
      </c>
      <c r="E176" s="40" t="s">
        <v>198</v>
      </c>
      <c r="F176" s="40" t="s">
        <v>198</v>
      </c>
      <c r="G176" s="40" t="s">
        <v>198</v>
      </c>
      <c r="H176" s="40">
        <v>9.4000000000000004E-3</v>
      </c>
      <c r="I176" s="40" t="s">
        <v>198</v>
      </c>
      <c r="J176" s="40">
        <v>1E-4</v>
      </c>
      <c r="K176" s="40" t="s">
        <v>198</v>
      </c>
      <c r="L176" s="40">
        <v>1.1999999999999999E-3</v>
      </c>
      <c r="M176" s="40" t="s">
        <v>198</v>
      </c>
      <c r="N176" s="40" t="s">
        <v>198</v>
      </c>
      <c r="O176" s="40" t="s">
        <v>198</v>
      </c>
      <c r="P176" s="40" t="s">
        <v>198</v>
      </c>
      <c r="Q176" s="40" t="s">
        <v>198</v>
      </c>
      <c r="R176" s="40" t="s">
        <v>198</v>
      </c>
    </row>
    <row r="177" spans="3:18" ht="18.399999999999999">
      <c r="C177" s="40" t="s">
        <v>619</v>
      </c>
      <c r="D177" s="40">
        <v>3.3E-3</v>
      </c>
      <c r="E177" s="40" t="s">
        <v>198</v>
      </c>
      <c r="F177" s="40" t="s">
        <v>198</v>
      </c>
      <c r="G177" s="40">
        <v>5.1000000000000004E-3</v>
      </c>
      <c r="H177" s="40" t="s">
        <v>198</v>
      </c>
      <c r="I177" s="40" t="s">
        <v>198</v>
      </c>
      <c r="J177" s="40">
        <v>6.7000000000000002E-4</v>
      </c>
      <c r="K177" s="40">
        <v>7.1999999999999995E-2</v>
      </c>
      <c r="L177" s="40">
        <v>7.0000000000000001E-3</v>
      </c>
      <c r="M177" s="40" t="s">
        <v>198</v>
      </c>
      <c r="N177" s="40" t="s">
        <v>198</v>
      </c>
      <c r="O177" s="40" t="s">
        <v>198</v>
      </c>
      <c r="P177" s="40" t="s">
        <v>198</v>
      </c>
      <c r="Q177" s="40" t="s">
        <v>198</v>
      </c>
      <c r="R177" s="40" t="s">
        <v>198</v>
      </c>
    </row>
    <row r="178" spans="3:18" ht="18.399999999999999">
      <c r="C178" s="40" t="s">
        <v>621</v>
      </c>
      <c r="D178" s="40">
        <v>5.3E-3</v>
      </c>
      <c r="E178" s="40" t="s">
        <v>198</v>
      </c>
      <c r="F178" s="40">
        <v>7.2999999999999996E-4</v>
      </c>
      <c r="G178" s="40">
        <v>6.4999999999999997E-4</v>
      </c>
      <c r="H178" s="40">
        <v>2.2000000000000001E-3</v>
      </c>
      <c r="I178" s="40" t="s">
        <v>198</v>
      </c>
      <c r="J178" s="40">
        <v>3.6999999999999998E-2</v>
      </c>
      <c r="K178" s="40">
        <v>4.4000000000000003E-3</v>
      </c>
      <c r="L178" s="40" t="s">
        <v>198</v>
      </c>
      <c r="M178" s="40">
        <v>8.0000000000000002E-3</v>
      </c>
      <c r="N178" s="40">
        <v>8.2000000000000007E-3</v>
      </c>
      <c r="O178" s="40" t="s">
        <v>198</v>
      </c>
      <c r="P178" s="40" t="s">
        <v>198</v>
      </c>
      <c r="Q178" s="40" t="s">
        <v>198</v>
      </c>
      <c r="R178" s="40" t="s">
        <v>198</v>
      </c>
    </row>
    <row r="179" spans="3:18" ht="18.399999999999999">
      <c r="C179" s="40" t="s">
        <v>623</v>
      </c>
      <c r="D179" s="40">
        <v>1.4E-2</v>
      </c>
      <c r="E179" s="40" t="s">
        <v>198</v>
      </c>
      <c r="F179" s="40" t="s">
        <v>198</v>
      </c>
      <c r="G179" s="40">
        <v>3.0000000000000001E-5</v>
      </c>
      <c r="H179" s="40">
        <v>1.4E-3</v>
      </c>
      <c r="I179" s="40" t="s">
        <v>198</v>
      </c>
      <c r="J179" s="40">
        <v>2.5999999999999999E-3</v>
      </c>
      <c r="K179" s="40" t="s">
        <v>198</v>
      </c>
      <c r="L179" s="40">
        <v>2.3E-3</v>
      </c>
      <c r="M179" s="40">
        <v>8.5999999999999998E-4</v>
      </c>
      <c r="N179" s="40">
        <v>2.0000000000000002E-5</v>
      </c>
      <c r="O179" s="40" t="s">
        <v>198</v>
      </c>
      <c r="P179" s="40" t="s">
        <v>198</v>
      </c>
      <c r="Q179" s="40" t="s">
        <v>198</v>
      </c>
      <c r="R179" s="40" t="s">
        <v>198</v>
      </c>
    </row>
    <row r="180" spans="3:18" ht="18.399999999999999">
      <c r="C180" s="40" t="s">
        <v>624</v>
      </c>
      <c r="D180" s="40">
        <v>1.2999999999999999E-2</v>
      </c>
      <c r="E180" s="40" t="s">
        <v>198</v>
      </c>
      <c r="F180" s="40">
        <v>1.2E-2</v>
      </c>
      <c r="G180" s="40">
        <v>1.7000000000000001E-2</v>
      </c>
      <c r="H180" s="40">
        <v>2.9000000000000001E-2</v>
      </c>
      <c r="I180" s="40">
        <v>6.8999999999999999E-3</v>
      </c>
      <c r="J180" s="40" t="s">
        <v>198</v>
      </c>
      <c r="K180" s="40">
        <v>5.7000000000000002E-2</v>
      </c>
      <c r="L180" s="40">
        <v>1.6E-2</v>
      </c>
      <c r="M180" s="40">
        <v>2.5000000000000001E-2</v>
      </c>
      <c r="N180" s="40">
        <v>3.8999999999999998E-3</v>
      </c>
      <c r="O180" s="40" t="s">
        <v>198</v>
      </c>
      <c r="P180" s="40" t="s">
        <v>198</v>
      </c>
      <c r="Q180" s="40" t="s">
        <v>198</v>
      </c>
      <c r="R180" s="40" t="s">
        <v>198</v>
      </c>
    </row>
    <row r="181" spans="3:18" ht="15.4">
      <c r="C181" s="51" t="s">
        <v>724</v>
      </c>
      <c r="D181" s="51"/>
      <c r="E181" s="51"/>
      <c r="F181" s="51"/>
      <c r="G181" s="51"/>
      <c r="H181" s="51"/>
      <c r="I181" s="51"/>
      <c r="J181" s="51"/>
      <c r="K181" s="51"/>
      <c r="L181" s="51"/>
      <c r="M181" s="51"/>
      <c r="N181" s="51"/>
      <c r="O181" s="51"/>
      <c r="P181" s="51"/>
      <c r="Q181" s="51"/>
      <c r="R181" s="51"/>
    </row>
    <row r="182" spans="3:18" ht="18.399999999999999">
      <c r="C182" s="40" t="s">
        <v>704</v>
      </c>
      <c r="D182" s="40" t="s">
        <v>198</v>
      </c>
      <c r="E182" s="40" t="s">
        <v>198</v>
      </c>
      <c r="F182" s="40">
        <v>6.3E-2</v>
      </c>
      <c r="G182" s="40" t="s">
        <v>198</v>
      </c>
      <c r="H182" s="40" t="s">
        <v>198</v>
      </c>
      <c r="I182" s="40" t="s">
        <v>198</v>
      </c>
      <c r="J182" s="40" t="s">
        <v>198</v>
      </c>
      <c r="K182" s="40" t="s">
        <v>198</v>
      </c>
      <c r="L182" s="40" t="s">
        <v>198</v>
      </c>
      <c r="M182" s="40">
        <v>1.7999999999999999E-2</v>
      </c>
      <c r="N182" s="40" t="s">
        <v>198</v>
      </c>
      <c r="O182" s="40" t="s">
        <v>198</v>
      </c>
      <c r="P182" s="40" t="s">
        <v>198</v>
      </c>
      <c r="Q182" s="40" t="s">
        <v>198</v>
      </c>
      <c r="R182" s="40" t="s">
        <v>198</v>
      </c>
    </row>
    <row r="183" spans="3:18" ht="18.399999999999999">
      <c r="C183" s="40" t="s">
        <v>615</v>
      </c>
      <c r="D183" s="40" t="s">
        <v>198</v>
      </c>
      <c r="E183" s="40" t="s">
        <v>198</v>
      </c>
      <c r="F183" s="40" t="s">
        <v>198</v>
      </c>
      <c r="G183" s="40" t="s">
        <v>198</v>
      </c>
      <c r="H183" s="40" t="s">
        <v>198</v>
      </c>
      <c r="I183" s="40" t="s">
        <v>198</v>
      </c>
      <c r="J183" s="40" t="s">
        <v>198</v>
      </c>
      <c r="K183" s="40" t="s">
        <v>198</v>
      </c>
      <c r="L183" s="40" t="s">
        <v>198</v>
      </c>
      <c r="M183" s="40">
        <v>3.7999999999999999E-2</v>
      </c>
      <c r="N183" s="40" t="s">
        <v>198</v>
      </c>
      <c r="O183" s="40" t="s">
        <v>198</v>
      </c>
      <c r="P183" s="40" t="s">
        <v>198</v>
      </c>
      <c r="Q183" s="40" t="s">
        <v>198</v>
      </c>
      <c r="R183" s="40" t="s">
        <v>198</v>
      </c>
    </row>
    <row r="184" spans="3:18" ht="15.4">
      <c r="C184" s="51" t="s">
        <v>725</v>
      </c>
      <c r="D184" s="51"/>
      <c r="E184" s="51"/>
      <c r="F184" s="51"/>
      <c r="G184" s="51"/>
      <c r="H184" s="51"/>
      <c r="I184" s="51"/>
      <c r="J184" s="51"/>
      <c r="K184" s="51"/>
      <c r="L184" s="51"/>
      <c r="M184" s="51"/>
      <c r="N184" s="51"/>
      <c r="O184" s="51"/>
      <c r="P184" s="51"/>
      <c r="Q184" s="51"/>
      <c r="R184" s="51"/>
    </row>
    <row r="185" spans="3:18" ht="18.399999999999999">
      <c r="C185" s="40" t="s">
        <v>704</v>
      </c>
      <c r="D185" s="40" t="s">
        <v>198</v>
      </c>
      <c r="E185" s="40" t="s">
        <v>198</v>
      </c>
      <c r="F185" s="40" t="s">
        <v>198</v>
      </c>
      <c r="G185" s="40" t="s">
        <v>198</v>
      </c>
      <c r="H185" s="40" t="s">
        <v>198</v>
      </c>
      <c r="I185" s="40" t="s">
        <v>198</v>
      </c>
      <c r="J185" s="40" t="s">
        <v>198</v>
      </c>
      <c r="K185" s="40" t="s">
        <v>198</v>
      </c>
      <c r="L185" s="40" t="s">
        <v>198</v>
      </c>
      <c r="M185" s="40">
        <v>0.2</v>
      </c>
      <c r="N185" s="40" t="s">
        <v>198</v>
      </c>
      <c r="O185" s="40" t="s">
        <v>198</v>
      </c>
      <c r="P185" s="40" t="s">
        <v>198</v>
      </c>
      <c r="Q185" s="40" t="s">
        <v>198</v>
      </c>
      <c r="R185" s="40" t="s">
        <v>198</v>
      </c>
    </row>
    <row r="186" spans="3:18" ht="18.399999999999999">
      <c r="C186" s="40" t="s">
        <v>615</v>
      </c>
      <c r="D186" s="40" t="s">
        <v>198</v>
      </c>
      <c r="E186" s="40" t="s">
        <v>198</v>
      </c>
      <c r="F186" s="40" t="s">
        <v>198</v>
      </c>
      <c r="G186" s="40" t="s">
        <v>198</v>
      </c>
      <c r="H186" s="40" t="s">
        <v>198</v>
      </c>
      <c r="I186" s="40" t="s">
        <v>198</v>
      </c>
      <c r="J186" s="40" t="s">
        <v>198</v>
      </c>
      <c r="K186" s="40" t="s">
        <v>198</v>
      </c>
      <c r="L186" s="40" t="s">
        <v>198</v>
      </c>
      <c r="M186" s="40">
        <v>3.6999999999999998E-2</v>
      </c>
      <c r="N186" s="40" t="s">
        <v>198</v>
      </c>
      <c r="O186" s="40" t="s">
        <v>198</v>
      </c>
      <c r="P186" s="40" t="s">
        <v>198</v>
      </c>
      <c r="Q186" s="40" t="s">
        <v>198</v>
      </c>
      <c r="R186" s="40" t="s">
        <v>198</v>
      </c>
    </row>
    <row r="187" spans="3:18" ht="15.4">
      <c r="C187" s="51" t="s">
        <v>731</v>
      </c>
      <c r="D187" s="51"/>
      <c r="E187" s="51"/>
      <c r="F187" s="51"/>
      <c r="G187" s="51"/>
      <c r="H187" s="51"/>
      <c r="I187" s="51"/>
      <c r="J187" s="51"/>
      <c r="K187" s="51"/>
      <c r="L187" s="51"/>
      <c r="M187" s="51"/>
      <c r="N187" s="51"/>
      <c r="O187" s="51"/>
      <c r="P187" s="51"/>
      <c r="Q187" s="51"/>
      <c r="R187" s="51"/>
    </row>
    <row r="188" spans="3:18" ht="18.399999999999999">
      <c r="C188" s="40" t="s">
        <v>704</v>
      </c>
      <c r="D188" s="40" t="s">
        <v>198</v>
      </c>
      <c r="E188" s="40" t="s">
        <v>198</v>
      </c>
      <c r="F188" s="40" t="s">
        <v>198</v>
      </c>
      <c r="G188" s="40" t="s">
        <v>198</v>
      </c>
      <c r="H188" s="40" t="s">
        <v>198</v>
      </c>
      <c r="I188" s="40" t="s">
        <v>198</v>
      </c>
      <c r="J188" s="40" t="s">
        <v>198</v>
      </c>
      <c r="K188" s="40" t="s">
        <v>198</v>
      </c>
      <c r="L188" s="40" t="s">
        <v>198</v>
      </c>
      <c r="M188" s="40">
        <v>0.28000000000000003</v>
      </c>
      <c r="N188" s="40" t="s">
        <v>198</v>
      </c>
      <c r="O188" s="40" t="s">
        <v>198</v>
      </c>
      <c r="P188" s="40" t="s">
        <v>198</v>
      </c>
      <c r="Q188" s="40" t="s">
        <v>198</v>
      </c>
      <c r="R188" s="40" t="s">
        <v>198</v>
      </c>
    </row>
    <row r="189" spans="3:18" ht="18.399999999999999">
      <c r="C189" s="40" t="s">
        <v>615</v>
      </c>
      <c r="D189" s="40" t="s">
        <v>198</v>
      </c>
      <c r="E189" s="40" t="s">
        <v>198</v>
      </c>
      <c r="F189" s="40" t="s">
        <v>198</v>
      </c>
      <c r="G189" s="40" t="s">
        <v>198</v>
      </c>
      <c r="H189" s="40" t="s">
        <v>198</v>
      </c>
      <c r="I189" s="40" t="s">
        <v>198</v>
      </c>
      <c r="J189" s="40" t="s">
        <v>198</v>
      </c>
      <c r="K189" s="40" t="s">
        <v>198</v>
      </c>
      <c r="L189" s="40" t="s">
        <v>198</v>
      </c>
      <c r="M189" s="40">
        <v>0.01</v>
      </c>
      <c r="N189" s="40" t="s">
        <v>198</v>
      </c>
      <c r="O189" s="40" t="s">
        <v>198</v>
      </c>
      <c r="P189" s="40" t="s">
        <v>198</v>
      </c>
      <c r="Q189" s="40" t="s">
        <v>198</v>
      </c>
      <c r="R189" s="40" t="s">
        <v>198</v>
      </c>
    </row>
    <row r="190" spans="3:18" ht="15.4">
      <c r="C190" s="51" t="s">
        <v>726</v>
      </c>
      <c r="D190" s="51"/>
      <c r="E190" s="51"/>
      <c r="F190" s="51"/>
      <c r="G190" s="51"/>
      <c r="H190" s="51"/>
      <c r="I190" s="51"/>
      <c r="J190" s="51"/>
      <c r="K190" s="51"/>
      <c r="L190" s="51"/>
      <c r="M190" s="51"/>
      <c r="N190" s="51"/>
      <c r="O190" s="51"/>
      <c r="P190" s="51"/>
      <c r="Q190" s="51"/>
      <c r="R190" s="51"/>
    </row>
    <row r="191" spans="3:18" ht="18.399999999999999">
      <c r="C191" s="40" t="s">
        <v>704</v>
      </c>
      <c r="D191" s="40" t="s">
        <v>198</v>
      </c>
      <c r="E191" s="40" t="s">
        <v>198</v>
      </c>
      <c r="F191" s="40" t="s">
        <v>198</v>
      </c>
      <c r="G191" s="40" t="s">
        <v>198</v>
      </c>
      <c r="H191" s="40" t="s">
        <v>198</v>
      </c>
      <c r="I191" s="40" t="s">
        <v>198</v>
      </c>
      <c r="J191" s="40" t="s">
        <v>198</v>
      </c>
      <c r="K191" s="40" t="s">
        <v>198</v>
      </c>
      <c r="L191" s="40" t="s">
        <v>198</v>
      </c>
      <c r="M191" s="40" t="s">
        <v>198</v>
      </c>
      <c r="N191" s="40" t="s">
        <v>198</v>
      </c>
      <c r="O191" s="40">
        <v>0.5</v>
      </c>
      <c r="P191" s="40" t="s">
        <v>198</v>
      </c>
      <c r="Q191" s="40" t="s">
        <v>198</v>
      </c>
      <c r="R191" s="40" t="s">
        <v>198</v>
      </c>
    </row>
    <row r="192" spans="3:18" ht="15.4">
      <c r="C192" s="51" t="s">
        <v>406</v>
      </c>
      <c r="D192" s="51"/>
      <c r="E192" s="51"/>
      <c r="F192" s="51"/>
      <c r="G192" s="51"/>
      <c r="H192" s="51"/>
      <c r="I192" s="51"/>
      <c r="J192" s="51"/>
      <c r="K192" s="51"/>
      <c r="L192" s="51"/>
      <c r="M192" s="51"/>
      <c r="N192" s="51"/>
      <c r="O192" s="51"/>
      <c r="P192" s="51"/>
      <c r="Q192" s="51"/>
      <c r="R192" s="51"/>
    </row>
    <row r="193" spans="3:18" ht="18.399999999999999">
      <c r="C193" s="40" t="s">
        <v>704</v>
      </c>
      <c r="D193" s="40" t="s">
        <v>198</v>
      </c>
      <c r="E193" s="40" t="s">
        <v>198</v>
      </c>
      <c r="F193" s="40" t="s">
        <v>198</v>
      </c>
      <c r="G193" s="40" t="s">
        <v>198</v>
      </c>
      <c r="H193" s="40" t="s">
        <v>198</v>
      </c>
      <c r="I193" s="40" t="s">
        <v>198</v>
      </c>
      <c r="J193" s="40" t="s">
        <v>198</v>
      </c>
      <c r="K193" s="40" t="s">
        <v>198</v>
      </c>
      <c r="L193" s="40" t="s">
        <v>198</v>
      </c>
      <c r="M193" s="40" t="s">
        <v>198</v>
      </c>
      <c r="N193" s="40" t="s">
        <v>198</v>
      </c>
      <c r="O193" s="40" t="s">
        <v>198</v>
      </c>
      <c r="P193" s="40">
        <v>1</v>
      </c>
      <c r="Q193" s="40" t="s">
        <v>198</v>
      </c>
      <c r="R193" s="40">
        <v>1</v>
      </c>
    </row>
    <row r="194" spans="3:18" ht="18.399999999999999">
      <c r="C194" s="5" t="s">
        <v>727</v>
      </c>
    </row>
    <row r="195" spans="3:18" ht="15.4">
      <c r="C195" s="5" t="s">
        <v>732</v>
      </c>
    </row>
    <row r="196" spans="3:18" ht="15.4"/>
    <row r="197" spans="3:18" ht="15.4">
      <c r="C197" s="78" t="s">
        <v>733</v>
      </c>
    </row>
    <row r="198" spans="3:18" ht="15.4">
      <c r="C198" s="44" t="s">
        <v>734</v>
      </c>
      <c r="D198" s="44"/>
      <c r="E198" s="44"/>
      <c r="F198" s="44"/>
      <c r="G198" s="44"/>
      <c r="H198" s="44"/>
      <c r="I198" s="44"/>
    </row>
    <row r="199" spans="3:18" ht="18.399999999999999">
      <c r="C199" s="91"/>
      <c r="D199" s="24" t="s">
        <v>652</v>
      </c>
      <c r="E199" s="24" t="s">
        <v>657</v>
      </c>
      <c r="F199" s="24" t="s">
        <v>660</v>
      </c>
      <c r="G199" s="24" t="s">
        <v>664</v>
      </c>
      <c r="H199" s="24" t="s">
        <v>665</v>
      </c>
      <c r="I199" s="24" t="s">
        <v>735</v>
      </c>
    </row>
    <row r="200" spans="3:18" ht="15.4">
      <c r="C200" s="77" t="s">
        <v>736</v>
      </c>
      <c r="D200" s="77"/>
      <c r="E200" s="77"/>
      <c r="F200" s="77"/>
      <c r="G200" s="77"/>
      <c r="H200" s="77"/>
      <c r="I200" s="77"/>
    </row>
    <row r="201" spans="3:18" ht="18.399999999999999">
      <c r="C201" s="40" t="s">
        <v>704</v>
      </c>
      <c r="D201" s="37">
        <v>0.6</v>
      </c>
      <c r="E201" s="37">
        <v>0.1</v>
      </c>
      <c r="F201" s="37">
        <v>0.2</v>
      </c>
      <c r="G201" s="37">
        <v>0.11</v>
      </c>
      <c r="H201" s="37">
        <v>0.3</v>
      </c>
      <c r="I201" s="40" t="s">
        <v>198</v>
      </c>
    </row>
    <row r="202" spans="3:18" ht="18.399999999999999">
      <c r="C202" s="40" t="s">
        <v>615</v>
      </c>
      <c r="D202" s="40" t="s">
        <v>198</v>
      </c>
      <c r="E202" s="37">
        <v>8.9999999999999993E-3</v>
      </c>
      <c r="F202" s="37">
        <v>7.0000000000000007E-2</v>
      </c>
      <c r="G202" s="40" t="s">
        <v>198</v>
      </c>
      <c r="H202" s="40" t="s">
        <v>198</v>
      </c>
      <c r="I202" s="40" t="s">
        <v>198</v>
      </c>
    </row>
    <row r="203" spans="3:18" ht="18.399999999999999">
      <c r="C203" s="40" t="s">
        <v>616</v>
      </c>
      <c r="D203" s="40" t="s">
        <v>198</v>
      </c>
      <c r="E203" s="40" t="s">
        <v>198</v>
      </c>
      <c r="F203" s="37">
        <v>0.05</v>
      </c>
      <c r="G203" s="40" t="s">
        <v>198</v>
      </c>
      <c r="H203" s="40" t="s">
        <v>198</v>
      </c>
      <c r="I203" s="40" t="s">
        <v>198</v>
      </c>
    </row>
    <row r="204" spans="3:18" ht="18.399999999999999">
      <c r="C204" s="40" t="s">
        <v>624</v>
      </c>
      <c r="D204" s="40" t="s">
        <v>198</v>
      </c>
      <c r="E204" s="37">
        <v>0.02</v>
      </c>
      <c r="F204" s="40" t="s">
        <v>198</v>
      </c>
      <c r="G204" s="40" t="s">
        <v>198</v>
      </c>
      <c r="H204" s="40" t="s">
        <v>198</v>
      </c>
      <c r="I204" s="40" t="s">
        <v>198</v>
      </c>
    </row>
    <row r="205" spans="3:18" ht="15.4">
      <c r="C205" s="77" t="s">
        <v>724</v>
      </c>
      <c r="D205" s="77"/>
      <c r="E205" s="77"/>
      <c r="F205" s="77"/>
      <c r="G205" s="77"/>
      <c r="H205" s="77"/>
      <c r="I205" s="77"/>
    </row>
    <row r="206" spans="3:18" ht="18.399999999999999">
      <c r="C206" s="40" t="s">
        <v>704</v>
      </c>
      <c r="D206" s="40" t="s">
        <v>198</v>
      </c>
      <c r="E206" s="40" t="s">
        <v>198</v>
      </c>
      <c r="F206" s="40" t="s">
        <v>198</v>
      </c>
      <c r="G206" s="37">
        <v>0.03</v>
      </c>
      <c r="H206" s="40" t="s">
        <v>198</v>
      </c>
      <c r="I206" s="40" t="s">
        <v>198</v>
      </c>
    </row>
    <row r="207" spans="3:18" ht="15.4">
      <c r="C207" s="77" t="s">
        <v>725</v>
      </c>
      <c r="D207" s="77"/>
      <c r="E207" s="77"/>
      <c r="F207" s="77"/>
      <c r="G207" s="77"/>
      <c r="H207" s="77"/>
      <c r="I207" s="77"/>
    </row>
    <row r="208" spans="3:18" ht="18.399999999999999">
      <c r="C208" s="40" t="s">
        <v>704</v>
      </c>
      <c r="D208" s="40" t="s">
        <v>198</v>
      </c>
      <c r="E208" s="40" t="s">
        <v>198</v>
      </c>
      <c r="F208" s="40" t="s">
        <v>198</v>
      </c>
      <c r="G208" s="37">
        <v>0.3</v>
      </c>
      <c r="H208" s="37">
        <v>0.9</v>
      </c>
      <c r="I208" s="40" t="s">
        <v>198</v>
      </c>
    </row>
    <row r="209" spans="3:17" ht="15.4">
      <c r="C209" s="77" t="s">
        <v>726</v>
      </c>
      <c r="D209" s="77"/>
      <c r="E209" s="77"/>
      <c r="F209" s="77"/>
      <c r="G209" s="77"/>
      <c r="H209" s="77"/>
      <c r="I209" s="77"/>
    </row>
    <row r="210" spans="3:17" ht="18.399999999999999">
      <c r="C210" s="40" t="s">
        <v>704</v>
      </c>
      <c r="D210" s="40" t="s">
        <v>198</v>
      </c>
      <c r="E210" s="40" t="s">
        <v>198</v>
      </c>
      <c r="F210" s="40" t="s">
        <v>198</v>
      </c>
      <c r="G210" s="37" t="s">
        <v>198</v>
      </c>
      <c r="H210" s="37" t="s">
        <v>198</v>
      </c>
      <c r="I210" s="40">
        <v>0.63</v>
      </c>
    </row>
    <row r="211" spans="3:17" ht="15.4">
      <c r="C211" s="5" t="s">
        <v>737</v>
      </c>
    </row>
    <row r="212" spans="3:17" ht="15.4">
      <c r="C212" s="5" t="s">
        <v>738</v>
      </c>
    </row>
    <row r="213" spans="3:17" ht="15.4"/>
    <row r="214" spans="3:17" ht="15.4">
      <c r="C214" s="78" t="s">
        <v>739</v>
      </c>
    </row>
    <row r="215" spans="3:17" ht="15.4">
      <c r="C215" s="44" t="s">
        <v>740</v>
      </c>
      <c r="D215" s="44"/>
      <c r="E215" s="44"/>
      <c r="F215" s="44"/>
      <c r="G215" s="44"/>
      <c r="H215" s="44"/>
      <c r="I215" s="44"/>
      <c r="J215" s="44"/>
      <c r="K215" s="44"/>
      <c r="L215" s="44"/>
      <c r="M215" s="44"/>
      <c r="N215" s="44"/>
      <c r="O215" s="44"/>
      <c r="P215" s="44"/>
      <c r="Q215" s="44"/>
    </row>
    <row r="216" spans="3:17" ht="33.75">
      <c r="C216" s="84" t="s">
        <v>696</v>
      </c>
      <c r="D216" s="24" t="s">
        <v>652</v>
      </c>
      <c r="E216" s="24" t="s">
        <v>654</v>
      </c>
      <c r="F216" s="24" t="s">
        <v>660</v>
      </c>
      <c r="G216" s="24" t="s">
        <v>661</v>
      </c>
      <c r="H216" s="24" t="s">
        <v>655</v>
      </c>
      <c r="I216" s="24" t="s">
        <v>741</v>
      </c>
      <c r="J216" s="24" t="s">
        <v>698</v>
      </c>
      <c r="K216" s="24" t="s">
        <v>664</v>
      </c>
      <c r="L216" s="24" t="s">
        <v>665</v>
      </c>
      <c r="M216" s="24" t="s">
        <v>656</v>
      </c>
      <c r="N216" s="24" t="s">
        <v>659</v>
      </c>
      <c r="O216" s="24" t="s">
        <v>658</v>
      </c>
      <c r="P216" s="24" t="s">
        <v>702</v>
      </c>
      <c r="Q216" s="24" t="s">
        <v>701</v>
      </c>
    </row>
    <row r="217" spans="3:17" ht="33.75">
      <c r="C217" s="40" t="s">
        <v>742</v>
      </c>
      <c r="D217" s="40">
        <v>0.7</v>
      </c>
      <c r="E217" s="40">
        <v>0.4</v>
      </c>
      <c r="F217" s="40">
        <v>0.4</v>
      </c>
      <c r="G217" s="40" t="s">
        <v>198</v>
      </c>
      <c r="H217" s="40" t="s">
        <v>198</v>
      </c>
      <c r="I217" s="40">
        <v>0.2</v>
      </c>
      <c r="J217" s="40" t="s">
        <v>198</v>
      </c>
      <c r="K217" s="40" t="s">
        <v>198</v>
      </c>
      <c r="L217" s="40">
        <v>0.4</v>
      </c>
      <c r="M217" s="40" t="s">
        <v>198</v>
      </c>
      <c r="N217" s="40" t="s">
        <v>198</v>
      </c>
      <c r="O217" s="40" t="s">
        <v>198</v>
      </c>
      <c r="P217" s="40" t="s">
        <v>198</v>
      </c>
      <c r="Q217" s="40" t="s">
        <v>198</v>
      </c>
    </row>
    <row r="218" spans="3:17" ht="33.75">
      <c r="C218" s="40" t="s">
        <v>743</v>
      </c>
      <c r="D218" s="40" t="s">
        <v>198</v>
      </c>
      <c r="E218" s="40">
        <v>0.6</v>
      </c>
      <c r="F218" s="40" t="s">
        <v>198</v>
      </c>
      <c r="G218" s="40" t="s">
        <v>198</v>
      </c>
      <c r="H218" s="40">
        <v>0.1</v>
      </c>
      <c r="I218" s="40">
        <v>0.1</v>
      </c>
      <c r="J218" s="40" t="s">
        <v>198</v>
      </c>
      <c r="K218" s="40">
        <v>0.3</v>
      </c>
      <c r="L218" s="40">
        <v>0.4</v>
      </c>
      <c r="M218" s="40" t="s">
        <v>198</v>
      </c>
      <c r="N218" s="40" t="s">
        <v>198</v>
      </c>
      <c r="O218" s="40" t="s">
        <v>198</v>
      </c>
      <c r="P218" s="40" t="s">
        <v>198</v>
      </c>
      <c r="Q218" s="40" t="s">
        <v>198</v>
      </c>
    </row>
    <row r="219" spans="3:17" ht="33.75">
      <c r="C219" s="40" t="s">
        <v>744</v>
      </c>
      <c r="D219" s="40" t="s">
        <v>198</v>
      </c>
      <c r="E219" s="40">
        <v>0.2</v>
      </c>
      <c r="F219" s="40" t="s">
        <v>198</v>
      </c>
      <c r="G219" s="40" t="s">
        <v>198</v>
      </c>
      <c r="H219" s="40" t="s">
        <v>198</v>
      </c>
      <c r="I219" s="40">
        <v>0.1</v>
      </c>
      <c r="J219" s="40" t="s">
        <v>198</v>
      </c>
      <c r="K219" s="40" t="s">
        <v>198</v>
      </c>
      <c r="L219" s="40" t="s">
        <v>198</v>
      </c>
      <c r="M219" s="40" t="s">
        <v>198</v>
      </c>
      <c r="N219" s="40" t="s">
        <v>198</v>
      </c>
      <c r="O219" s="40" t="s">
        <v>198</v>
      </c>
      <c r="P219" s="40" t="s">
        <v>198</v>
      </c>
      <c r="Q219" s="40" t="s">
        <v>198</v>
      </c>
    </row>
    <row r="220" spans="3:17" ht="33.75">
      <c r="C220" s="40" t="s">
        <v>745</v>
      </c>
      <c r="D220" s="40" t="s">
        <v>198</v>
      </c>
      <c r="E220" s="40" t="s">
        <v>198</v>
      </c>
      <c r="F220" s="40" t="s">
        <v>198</v>
      </c>
      <c r="G220" s="40" t="s">
        <v>198</v>
      </c>
      <c r="H220" s="40" t="s">
        <v>198</v>
      </c>
      <c r="I220" s="40">
        <v>0.1</v>
      </c>
      <c r="J220" s="40" t="s">
        <v>198</v>
      </c>
      <c r="K220" s="40" t="s">
        <v>198</v>
      </c>
      <c r="L220" s="40" t="s">
        <v>198</v>
      </c>
      <c r="M220" s="40" t="s">
        <v>198</v>
      </c>
      <c r="N220" s="40" t="s">
        <v>198</v>
      </c>
      <c r="O220" s="40" t="s">
        <v>198</v>
      </c>
      <c r="P220" s="40" t="s">
        <v>198</v>
      </c>
      <c r="Q220" s="40" t="s">
        <v>198</v>
      </c>
    </row>
    <row r="221" spans="3:17" ht="33.75">
      <c r="C221" s="40" t="s">
        <v>746</v>
      </c>
      <c r="D221" s="40" t="s">
        <v>198</v>
      </c>
      <c r="E221" s="40">
        <v>0.2</v>
      </c>
      <c r="F221" s="40" t="s">
        <v>198</v>
      </c>
      <c r="G221" s="40" t="s">
        <v>198</v>
      </c>
      <c r="H221" s="40">
        <v>0.2</v>
      </c>
      <c r="I221" s="40">
        <v>0.1</v>
      </c>
      <c r="J221" s="40" t="s">
        <v>198</v>
      </c>
      <c r="K221" s="40" t="s">
        <v>198</v>
      </c>
      <c r="L221" s="40" t="s">
        <v>198</v>
      </c>
      <c r="M221" s="40" t="s">
        <v>198</v>
      </c>
      <c r="N221" s="40" t="s">
        <v>198</v>
      </c>
      <c r="O221" s="40" t="s">
        <v>198</v>
      </c>
      <c r="P221" s="40" t="s">
        <v>198</v>
      </c>
      <c r="Q221" s="40" t="s">
        <v>198</v>
      </c>
    </row>
    <row r="222" spans="3:17" ht="15.4">
      <c r="C222" s="5" t="s">
        <v>737</v>
      </c>
    </row>
    <row r="223" spans="3:17" ht="15.4">
      <c r="C223" s="5" t="s">
        <v>747</v>
      </c>
    </row>
    <row r="224" spans="3:17" ht="15.4"/>
    <row r="225" spans="1:15" ht="15.4">
      <c r="A225" s="78" t="s">
        <v>748</v>
      </c>
    </row>
    <row r="226" spans="1:15" ht="18.399999999999999">
      <c r="C226" s="52"/>
      <c r="D226" s="24" t="s">
        <v>652</v>
      </c>
      <c r="E226" s="24" t="s">
        <v>654</v>
      </c>
      <c r="F226" s="24" t="s">
        <v>655</v>
      </c>
      <c r="G226" s="24" t="s">
        <v>656</v>
      </c>
      <c r="H226" s="24" t="s">
        <v>657</v>
      </c>
      <c r="I226" s="24" t="s">
        <v>658</v>
      </c>
      <c r="J226" s="24" t="s">
        <v>659</v>
      </c>
      <c r="K226" s="24" t="s">
        <v>660</v>
      </c>
      <c r="L226" s="24" t="s">
        <v>661</v>
      </c>
      <c r="M226" s="24" t="s">
        <v>664</v>
      </c>
      <c r="N226" s="24" t="s">
        <v>665</v>
      </c>
      <c r="O226" s="24" t="s">
        <v>51</v>
      </c>
    </row>
    <row r="227" spans="1:15" ht="49.9">
      <c r="C227" s="42" t="s">
        <v>749</v>
      </c>
      <c r="D227" s="40">
        <v>0.36</v>
      </c>
      <c r="E227" s="40">
        <v>0.12</v>
      </c>
      <c r="F227" s="40">
        <v>0.03</v>
      </c>
      <c r="G227" s="40">
        <v>3.0000000000000001E-3</v>
      </c>
      <c r="H227" s="40">
        <v>0.01</v>
      </c>
      <c r="I227" s="92">
        <v>6.9999999999999994E-5</v>
      </c>
      <c r="J227" s="40">
        <v>1E-3</v>
      </c>
      <c r="K227" s="40">
        <v>0.05</v>
      </c>
      <c r="L227" s="40">
        <v>3.0000000000000001E-3</v>
      </c>
      <c r="M227" s="40">
        <v>0.15</v>
      </c>
      <c r="N227" s="40">
        <v>0.05</v>
      </c>
      <c r="O227" s="40">
        <v>1.01</v>
      </c>
    </row>
    <row r="228" spans="1:15" ht="48">
      <c r="C228" s="42" t="s">
        <v>750</v>
      </c>
      <c r="D228" s="40">
        <v>0.65</v>
      </c>
      <c r="E228" s="40"/>
      <c r="F228" s="40"/>
      <c r="G228" s="40"/>
      <c r="H228" s="40">
        <v>1E-3</v>
      </c>
      <c r="I228" s="40"/>
      <c r="J228" s="40"/>
      <c r="K228" s="40">
        <v>2.3999999999999998E-3</v>
      </c>
      <c r="L228" s="40"/>
      <c r="M228" s="40">
        <v>1.29</v>
      </c>
      <c r="N228" s="40">
        <v>4.1399999999999997</v>
      </c>
      <c r="O228" s="40">
        <v>17.059999999999999</v>
      </c>
    </row>
    <row r="229" spans="1:15" ht="48">
      <c r="C229" s="42" t="s">
        <v>751</v>
      </c>
      <c r="D229" s="40">
        <v>5</v>
      </c>
      <c r="E229" s="40">
        <v>0.2</v>
      </c>
      <c r="F229" s="40"/>
      <c r="G229" s="40"/>
      <c r="H229" s="40"/>
      <c r="I229" s="40"/>
      <c r="J229" s="40"/>
      <c r="K229" s="40"/>
      <c r="L229" s="40"/>
      <c r="M229" s="40"/>
      <c r="N229" s="40"/>
      <c r="O229" s="40"/>
    </row>
    <row r="230" spans="1:15" ht="48">
      <c r="C230" s="42" t="s">
        <v>752</v>
      </c>
      <c r="D230" s="40">
        <v>1.4999999999999999E-2</v>
      </c>
      <c r="E230" s="40"/>
      <c r="F230" s="40"/>
      <c r="G230" s="40"/>
      <c r="H230" s="40">
        <v>7.5999999999999998E-2</v>
      </c>
      <c r="I230" s="40"/>
      <c r="J230" s="40"/>
      <c r="K230" s="40"/>
      <c r="L230" s="40"/>
      <c r="M230" s="40"/>
      <c r="N230" s="40">
        <v>1.86</v>
      </c>
      <c r="O230" s="40"/>
    </row>
    <row r="231" spans="1:15" ht="15.4">
      <c r="C231" s="5" t="s">
        <v>753</v>
      </c>
    </row>
    <row r="232" spans="1:15" ht="15.4">
      <c r="C232" s="5" t="s">
        <v>754</v>
      </c>
    </row>
  </sheetData>
  <mergeCells count="29">
    <mergeCell ref="C200:I200"/>
    <mergeCell ref="C205:I205"/>
    <mergeCell ref="C207:I207"/>
    <mergeCell ref="C209:I209"/>
    <mergeCell ref="C215:Q215"/>
    <mergeCell ref="C181:R181"/>
    <mergeCell ref="C184:R184"/>
    <mergeCell ref="C187:R187"/>
    <mergeCell ref="C190:R190"/>
    <mergeCell ref="C192:R192"/>
    <mergeCell ref="C198:I198"/>
    <mergeCell ref="C154:T154"/>
    <mergeCell ref="C157:T157"/>
    <mergeCell ref="C161:T161"/>
    <mergeCell ref="C163:T163"/>
    <mergeCell ref="C169:R169"/>
    <mergeCell ref="C171:R171"/>
    <mergeCell ref="C75:H75"/>
    <mergeCell ref="C79:H79"/>
    <mergeCell ref="C93:V93"/>
    <mergeCell ref="C100:V100"/>
    <mergeCell ref="C146:T146"/>
    <mergeCell ref="C148:T148"/>
    <mergeCell ref="C51:C52"/>
    <mergeCell ref="D51:R51"/>
    <mergeCell ref="C64:R64"/>
    <mergeCell ref="C71:C74"/>
    <mergeCell ref="D71:H71"/>
    <mergeCell ref="D72:H72"/>
  </mergeCells>
  <phoneticPr fontId="9" type="noConversion"/>
  <pageMargins left="0.70000000000000007" right="0.70000000000000007" top="0.75" bottom="0.75" header="0.30000000000000004" footer="0.30000000000000004"/>
  <pageSetup paperSize="0" fitToWidth="0" fitToHeight="0" orientation="portrait" horizontalDpi="0" verticalDpi="0" copies="0"/>
  <drawing r:id="rId1"/>
  <legacyDrawing r:id="rId2"/>
  <oleObjects>
    <mc:AlternateContent xmlns:mc="http://schemas.openxmlformats.org/markup-compatibility/2006">
      <mc:Choice Requires="x14">
        <oleObject progId="Word.Document.12" shapeId="1025" r:id="rId3">
          <objectPr defaultSize="0" r:id="rId4">
            <anchor moveWithCells="1" sizeWithCells="1">
              <from>
                <xdr:col>2</xdr:col>
                <xdr:colOff>242888</xdr:colOff>
                <xdr:row>29</xdr:row>
                <xdr:rowOff>85725</xdr:rowOff>
              </from>
              <to>
                <xdr:col>7</xdr:col>
                <xdr:colOff>638175</xdr:colOff>
                <xdr:row>30</xdr:row>
                <xdr:rowOff>109538</xdr:rowOff>
              </to>
            </anchor>
          </objectPr>
        </oleObject>
      </mc:Choice>
      <mc:Fallback>
        <oleObject progId="Word.Document.12" shapeId="1025" r:id="rId3"/>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workbookViewId="0"/>
  </sheetViews>
  <sheetFormatPr defaultColWidth="8.53125" defaultRowHeight="15.6"/>
  <cols>
    <col min="1" max="1" width="8.53125" style="62" customWidth="1"/>
    <col min="2" max="7" width="29.53125" style="62" customWidth="1"/>
    <col min="8" max="8" width="8.53125" style="62" customWidth="1"/>
    <col min="9" max="16384" width="8.53125" style="62"/>
  </cols>
  <sheetData>
    <row r="1" spans="1:4" ht="15.4">
      <c r="A1" s="95" t="s">
        <v>25</v>
      </c>
    </row>
    <row r="2" spans="1:4" ht="18.399999999999999">
      <c r="B2" s="62" t="s">
        <v>755</v>
      </c>
    </row>
    <row r="3" spans="1:4" ht="18.399999999999999">
      <c r="B3" s="62" t="s">
        <v>756</v>
      </c>
    </row>
    <row r="4" spans="1:4" ht="15.4">
      <c r="B4" s="62" t="s">
        <v>757</v>
      </c>
    </row>
    <row r="5" spans="1:4" ht="15.4"/>
    <row r="6" spans="1:4" ht="15.4">
      <c r="B6" s="95" t="s">
        <v>758</v>
      </c>
    </row>
    <row r="7" spans="1:4" ht="18.399999999999999">
      <c r="B7" s="96" t="s">
        <v>759</v>
      </c>
    </row>
    <row r="8" spans="1:4" ht="18.399999999999999">
      <c r="B8" s="97" t="s">
        <v>760</v>
      </c>
    </row>
    <row r="9" spans="1:4" ht="18.399999999999999">
      <c r="B9" s="97" t="s">
        <v>761</v>
      </c>
    </row>
    <row r="10" spans="1:4" ht="15.4">
      <c r="B10" s="62" t="s">
        <v>762</v>
      </c>
    </row>
    <row r="11" spans="1:4" ht="15.4"/>
    <row r="12" spans="1:4" ht="15.4">
      <c r="B12" s="95" t="s">
        <v>763</v>
      </c>
    </row>
    <row r="13" spans="1:4" ht="18.399999999999999">
      <c r="B13" s="98" t="s">
        <v>764</v>
      </c>
      <c r="C13" s="98" t="s">
        <v>765</v>
      </c>
      <c r="D13" s="98" t="s">
        <v>766</v>
      </c>
    </row>
    <row r="14" spans="1:4" ht="15.4">
      <c r="B14" s="105" t="s">
        <v>767</v>
      </c>
      <c r="C14" s="105"/>
      <c r="D14" s="105"/>
    </row>
    <row r="15" spans="1:4" ht="15.4">
      <c r="B15" s="97" t="s">
        <v>768</v>
      </c>
      <c r="C15" s="99">
        <v>0.1</v>
      </c>
      <c r="D15" s="99" t="s">
        <v>769</v>
      </c>
    </row>
    <row r="16" spans="1:4" ht="15.4">
      <c r="B16" s="97" t="s">
        <v>770</v>
      </c>
      <c r="C16" s="99">
        <v>0.5</v>
      </c>
      <c r="D16" s="99" t="s">
        <v>771</v>
      </c>
    </row>
    <row r="17" spans="1:4" ht="15.4">
      <c r="B17" s="97" t="s">
        <v>772</v>
      </c>
      <c r="C17" s="99">
        <v>0</v>
      </c>
      <c r="D17" s="99">
        <v>0</v>
      </c>
    </row>
    <row r="18" spans="1:4" ht="15.4">
      <c r="B18" s="105" t="s">
        <v>773</v>
      </c>
      <c r="C18" s="105"/>
      <c r="D18" s="105"/>
    </row>
    <row r="19" spans="1:4" ht="15.4">
      <c r="B19" s="97" t="s">
        <v>774</v>
      </c>
      <c r="C19" s="99">
        <v>0</v>
      </c>
      <c r="D19" s="99" t="s">
        <v>775</v>
      </c>
    </row>
    <row r="20" spans="1:4" ht="15.4">
      <c r="B20" s="97" t="s">
        <v>776</v>
      </c>
      <c r="C20" s="99">
        <v>0.3</v>
      </c>
      <c r="D20" s="99" t="s">
        <v>777</v>
      </c>
    </row>
    <row r="21" spans="1:4" ht="15.4">
      <c r="B21" s="97" t="s">
        <v>778</v>
      </c>
      <c r="C21" s="99">
        <v>0.8</v>
      </c>
      <c r="D21" s="99" t="s">
        <v>779</v>
      </c>
    </row>
    <row r="22" spans="1:4" ht="15.4">
      <c r="B22" s="97" t="s">
        <v>780</v>
      </c>
      <c r="C22" s="99">
        <v>0.8</v>
      </c>
      <c r="D22" s="99" t="s">
        <v>779</v>
      </c>
    </row>
    <row r="23" spans="1:4" ht="15.4">
      <c r="B23" s="97" t="s">
        <v>781</v>
      </c>
      <c r="C23" s="99">
        <v>0.2</v>
      </c>
      <c r="D23" s="99" t="s">
        <v>782</v>
      </c>
    </row>
    <row r="24" spans="1:4" ht="15.4">
      <c r="B24" s="97" t="s">
        <v>783</v>
      </c>
      <c r="C24" s="99">
        <v>0.8</v>
      </c>
      <c r="D24" s="99" t="s">
        <v>779</v>
      </c>
    </row>
    <row r="25" spans="1:4" ht="15.4">
      <c r="B25" s="97" t="s">
        <v>784</v>
      </c>
      <c r="C25" s="99">
        <v>0.5</v>
      </c>
      <c r="D25" s="99">
        <v>0.5</v>
      </c>
    </row>
    <row r="26" spans="1:4" ht="15.4">
      <c r="B26" s="97" t="s">
        <v>785</v>
      </c>
      <c r="C26" s="99">
        <v>0.1</v>
      </c>
      <c r="D26" s="99" t="s">
        <v>786</v>
      </c>
    </row>
    <row r="27" spans="1:4" ht="15.4">
      <c r="B27" s="97" t="s">
        <v>787</v>
      </c>
      <c r="C27" s="99">
        <v>0.5</v>
      </c>
      <c r="D27" s="99" t="s">
        <v>788</v>
      </c>
    </row>
    <row r="28" spans="1:4" ht="15.4">
      <c r="B28" s="97" t="s">
        <v>789</v>
      </c>
      <c r="C28" s="99">
        <v>0.7</v>
      </c>
      <c r="D28" s="99" t="s">
        <v>790</v>
      </c>
    </row>
    <row r="29" spans="1:4" ht="15.4">
      <c r="B29" s="97" t="s">
        <v>791</v>
      </c>
      <c r="C29" s="99">
        <v>0.1</v>
      </c>
      <c r="D29" s="99">
        <v>0.1</v>
      </c>
    </row>
    <row r="30" spans="1:4" ht="15.4">
      <c r="B30" s="62" t="s">
        <v>792</v>
      </c>
    </row>
    <row r="31" spans="1:4" ht="15.4"/>
    <row r="32" spans="1:4" ht="15.4">
      <c r="A32" s="95" t="s">
        <v>27</v>
      </c>
    </row>
    <row r="33" spans="1:4" ht="18.399999999999999">
      <c r="B33" s="62" t="s">
        <v>793</v>
      </c>
    </row>
    <row r="34" spans="1:4" ht="18.399999999999999">
      <c r="B34" s="62" t="s">
        <v>794</v>
      </c>
    </row>
    <row r="35" spans="1:4" ht="15.4">
      <c r="B35" s="62" t="s">
        <v>795</v>
      </c>
    </row>
    <row r="36" spans="1:4" ht="18.399999999999999">
      <c r="B36" s="98" t="s">
        <v>764</v>
      </c>
      <c r="C36" s="98" t="s">
        <v>765</v>
      </c>
      <c r="D36" s="98" t="s">
        <v>766</v>
      </c>
    </row>
    <row r="37" spans="1:4" ht="15.4">
      <c r="B37" s="105" t="s">
        <v>767</v>
      </c>
      <c r="C37" s="105"/>
      <c r="D37" s="105"/>
    </row>
    <row r="38" spans="1:4" ht="15.4">
      <c r="B38" s="97" t="s">
        <v>796</v>
      </c>
      <c r="C38" s="99">
        <v>0.1</v>
      </c>
      <c r="D38" s="99" t="s">
        <v>769</v>
      </c>
    </row>
    <row r="39" spans="1:4" ht="15.4">
      <c r="B39" s="105" t="s">
        <v>773</v>
      </c>
      <c r="C39" s="105"/>
      <c r="D39" s="105"/>
    </row>
    <row r="40" spans="1:4" ht="15.4">
      <c r="B40" s="97" t="s">
        <v>774</v>
      </c>
      <c r="C40" s="99">
        <v>0</v>
      </c>
      <c r="D40" s="99" t="s">
        <v>775</v>
      </c>
    </row>
    <row r="41" spans="1:4" ht="15.4">
      <c r="B41" s="97" t="s">
        <v>776</v>
      </c>
      <c r="C41" s="99">
        <v>0.3</v>
      </c>
      <c r="D41" s="99" t="s">
        <v>777</v>
      </c>
    </row>
    <row r="42" spans="1:4" ht="15.4">
      <c r="B42" s="97" t="s">
        <v>797</v>
      </c>
      <c r="C42" s="99">
        <v>0.8</v>
      </c>
      <c r="D42" s="99" t="s">
        <v>779</v>
      </c>
    </row>
    <row r="43" spans="1:4" ht="15.4">
      <c r="B43" s="97" t="s">
        <v>780</v>
      </c>
      <c r="C43" s="99">
        <v>0.8</v>
      </c>
      <c r="D43" s="99" t="s">
        <v>779</v>
      </c>
    </row>
    <row r="44" spans="1:4" ht="15.4">
      <c r="B44" s="97" t="s">
        <v>798</v>
      </c>
      <c r="C44" s="99">
        <v>0.2</v>
      </c>
      <c r="D44" s="99" t="s">
        <v>782</v>
      </c>
    </row>
    <row r="45" spans="1:4" ht="15.4">
      <c r="B45" s="97" t="s">
        <v>799</v>
      </c>
      <c r="C45" s="99">
        <v>0.8</v>
      </c>
      <c r="D45" s="99" t="s">
        <v>779</v>
      </c>
    </row>
    <row r="46" spans="1:4" ht="15.4">
      <c r="B46" s="62" t="s">
        <v>800</v>
      </c>
    </row>
    <row r="47" spans="1:4" ht="15.4"/>
    <row r="48" spans="1:4" ht="15.4">
      <c r="A48" s="95" t="s">
        <v>28</v>
      </c>
    </row>
    <row r="49" spans="1:4" ht="16.25" customHeight="1">
      <c r="B49" s="106" t="s">
        <v>801</v>
      </c>
      <c r="C49" s="106" t="s">
        <v>446</v>
      </c>
      <c r="D49" s="106"/>
    </row>
    <row r="50" spans="1:4" ht="15.4">
      <c r="B50" s="106"/>
      <c r="C50" s="106" t="s">
        <v>802</v>
      </c>
      <c r="D50" s="106"/>
    </row>
    <row r="51" spans="1:4" ht="15.4">
      <c r="B51" s="106"/>
      <c r="C51" s="98" t="s">
        <v>803</v>
      </c>
      <c r="D51" s="98" t="s">
        <v>804</v>
      </c>
    </row>
    <row r="52" spans="1:4" ht="15.4">
      <c r="B52" s="97" t="s">
        <v>805</v>
      </c>
      <c r="C52" s="99" t="s">
        <v>806</v>
      </c>
      <c r="D52" s="99" t="s">
        <v>807</v>
      </c>
    </row>
    <row r="53" spans="1:4" ht="15.4">
      <c r="B53" s="97" t="s">
        <v>808</v>
      </c>
      <c r="C53" s="99" t="s">
        <v>809</v>
      </c>
      <c r="D53" s="100" t="s">
        <v>810</v>
      </c>
    </row>
    <row r="54" spans="1:4" ht="15.4">
      <c r="B54" s="97" t="s">
        <v>811</v>
      </c>
      <c r="C54" s="99" t="s">
        <v>809</v>
      </c>
      <c r="D54" s="99" t="s">
        <v>812</v>
      </c>
    </row>
    <row r="55" spans="1:4" ht="15.4">
      <c r="B55" s="97" t="s">
        <v>813</v>
      </c>
      <c r="C55" s="99" t="s">
        <v>806</v>
      </c>
      <c r="D55" s="99" t="s">
        <v>814</v>
      </c>
    </row>
    <row r="56" spans="1:4" ht="15.4">
      <c r="B56" s="97" t="s">
        <v>815</v>
      </c>
      <c r="C56" s="99" t="s">
        <v>809</v>
      </c>
      <c r="D56" s="100" t="s">
        <v>816</v>
      </c>
    </row>
    <row r="57" spans="1:4" ht="15.4">
      <c r="B57" s="97" t="s">
        <v>817</v>
      </c>
      <c r="C57" s="99" t="s">
        <v>806</v>
      </c>
      <c r="D57" s="100" t="s">
        <v>818</v>
      </c>
    </row>
    <row r="58" spans="1:4" ht="15.4">
      <c r="B58" s="97" t="s">
        <v>819</v>
      </c>
      <c r="C58" s="99" t="s">
        <v>806</v>
      </c>
      <c r="D58" s="100" t="s">
        <v>820</v>
      </c>
    </row>
    <row r="59" spans="1:4" ht="15.4">
      <c r="B59" s="97" t="s">
        <v>821</v>
      </c>
      <c r="C59" s="99" t="s">
        <v>822</v>
      </c>
      <c r="D59" s="99" t="s">
        <v>823</v>
      </c>
    </row>
    <row r="60" spans="1:4" ht="15.4">
      <c r="B60" s="62" t="s">
        <v>824</v>
      </c>
    </row>
    <row r="61" spans="1:4" ht="15.4"/>
    <row r="62" spans="1:4" ht="15.4">
      <c r="A62" s="95" t="s">
        <v>30</v>
      </c>
    </row>
    <row r="63" spans="1:4" ht="15.4">
      <c r="B63" s="95" t="s">
        <v>825</v>
      </c>
    </row>
    <row r="64" spans="1:4" ht="18.399999999999999">
      <c r="B64" s="62" t="s">
        <v>826</v>
      </c>
    </row>
    <row r="65" spans="2:3" ht="18.399999999999999">
      <c r="B65" s="62" t="s">
        <v>827</v>
      </c>
    </row>
    <row r="66" spans="2:3" ht="18.399999999999999">
      <c r="B66" s="62" t="s">
        <v>828</v>
      </c>
    </row>
    <row r="67" spans="2:3" ht="18.399999999999999">
      <c r="B67" s="62" t="s">
        <v>829</v>
      </c>
    </row>
    <row r="68" spans="2:3" ht="15.4">
      <c r="B68" s="62" t="s">
        <v>830</v>
      </c>
    </row>
    <row r="69" spans="2:3" ht="15.4"/>
    <row r="70" spans="2:3" ht="15.4">
      <c r="B70" s="95" t="s">
        <v>831</v>
      </c>
    </row>
    <row r="71" spans="2:3" ht="15.4">
      <c r="B71" s="98" t="s">
        <v>832</v>
      </c>
      <c r="C71" s="98" t="s">
        <v>833</v>
      </c>
    </row>
    <row r="72" spans="2:3" ht="17.25">
      <c r="B72" s="101" t="s">
        <v>834</v>
      </c>
      <c r="C72" s="99">
        <v>0</v>
      </c>
    </row>
    <row r="73" spans="2:3" ht="18.399999999999999">
      <c r="B73" s="97" t="s">
        <v>835</v>
      </c>
      <c r="C73" s="99">
        <v>0.1</v>
      </c>
    </row>
    <row r="74" spans="2:3" ht="15.4">
      <c r="B74" s="62" t="s">
        <v>836</v>
      </c>
    </row>
    <row r="75" spans="2:3" ht="15.4">
      <c r="B75" s="62" t="s">
        <v>837</v>
      </c>
    </row>
    <row r="76" spans="2:3" ht="15.4">
      <c r="B76" s="62" t="s">
        <v>838</v>
      </c>
    </row>
    <row r="77" spans="2:3" ht="15.4"/>
    <row r="78" spans="2:3" ht="15.4">
      <c r="B78" s="95" t="s">
        <v>839</v>
      </c>
    </row>
    <row r="79" spans="2:3" ht="15.4">
      <c r="B79" s="98" t="s">
        <v>832</v>
      </c>
      <c r="C79" s="98" t="s">
        <v>840</v>
      </c>
    </row>
    <row r="80" spans="2:3" ht="15.4">
      <c r="B80" s="97" t="s">
        <v>841</v>
      </c>
      <c r="C80" s="99">
        <v>1</v>
      </c>
    </row>
    <row r="81" spans="2:7" ht="15.4">
      <c r="B81" s="97" t="s">
        <v>842</v>
      </c>
      <c r="C81" s="99">
        <v>0.5</v>
      </c>
    </row>
    <row r="82" spans="2:7" ht="15.4">
      <c r="B82" s="97" t="s">
        <v>843</v>
      </c>
      <c r="C82" s="99">
        <v>0.8</v>
      </c>
    </row>
    <row r="83" spans="2:7" ht="15.4">
      <c r="B83" s="97" t="s">
        <v>844</v>
      </c>
      <c r="C83" s="99">
        <v>0.4</v>
      </c>
    </row>
    <row r="84" spans="2:7" ht="17.25">
      <c r="B84" s="101" t="s">
        <v>845</v>
      </c>
      <c r="C84" s="99">
        <v>0.6</v>
      </c>
    </row>
    <row r="85" spans="2:7" ht="15.4">
      <c r="B85" s="62" t="s">
        <v>846</v>
      </c>
    </row>
    <row r="86" spans="2:7" ht="15.4">
      <c r="B86" s="62" t="s">
        <v>847</v>
      </c>
    </row>
    <row r="87" spans="2:7" ht="15.4"/>
    <row r="88" spans="2:7" ht="15.4">
      <c r="B88" s="95" t="s">
        <v>848</v>
      </c>
    </row>
    <row r="89" spans="2:7" ht="30.75">
      <c r="B89" s="102" t="s">
        <v>849</v>
      </c>
      <c r="C89" s="63" t="s">
        <v>850</v>
      </c>
      <c r="D89" s="63" t="s">
        <v>851</v>
      </c>
      <c r="E89" s="63" t="s">
        <v>852</v>
      </c>
      <c r="F89" s="63" t="s">
        <v>853</v>
      </c>
      <c r="G89" s="63" t="s">
        <v>854</v>
      </c>
    </row>
    <row r="90" spans="2:7" ht="15.4">
      <c r="B90" s="99" t="s">
        <v>855</v>
      </c>
      <c r="C90" s="99">
        <v>90</v>
      </c>
      <c r="D90" s="99">
        <v>40</v>
      </c>
      <c r="E90" s="99">
        <v>44</v>
      </c>
      <c r="F90" s="99">
        <v>46</v>
      </c>
      <c r="G90" s="99">
        <v>1</v>
      </c>
    </row>
    <row r="91" spans="2:7" ht="15.4">
      <c r="B91" s="99" t="s">
        <v>856</v>
      </c>
      <c r="C91" s="99">
        <v>80</v>
      </c>
      <c r="D91" s="99">
        <v>24</v>
      </c>
      <c r="E91" s="99">
        <v>30</v>
      </c>
      <c r="F91" s="99">
        <v>50</v>
      </c>
      <c r="G91" s="99">
        <v>20</v>
      </c>
    </row>
    <row r="92" spans="2:7" ht="15.4">
      <c r="B92" s="99" t="s">
        <v>857</v>
      </c>
      <c r="C92" s="99">
        <v>40</v>
      </c>
      <c r="D92" s="99">
        <v>15</v>
      </c>
      <c r="E92" s="99">
        <v>38</v>
      </c>
      <c r="F92" s="99">
        <v>38</v>
      </c>
      <c r="G92" s="99" t="s">
        <v>858</v>
      </c>
    </row>
    <row r="93" spans="2:7" ht="15.4">
      <c r="B93" s="99" t="s">
        <v>859</v>
      </c>
      <c r="C93" s="99">
        <v>85</v>
      </c>
      <c r="D93" s="99">
        <v>43</v>
      </c>
      <c r="E93" s="99">
        <v>50</v>
      </c>
      <c r="F93" s="99">
        <v>50</v>
      </c>
      <c r="G93" s="99" t="s">
        <v>858</v>
      </c>
    </row>
    <row r="94" spans="2:7" ht="15.4">
      <c r="B94" s="99" t="s">
        <v>860</v>
      </c>
      <c r="C94" s="99">
        <v>40</v>
      </c>
      <c r="D94" s="99">
        <v>20</v>
      </c>
      <c r="E94" s="99">
        <v>49</v>
      </c>
      <c r="F94" s="99">
        <v>49</v>
      </c>
      <c r="G94" s="99">
        <v>0</v>
      </c>
    </row>
    <row r="95" spans="2:7" ht="15.4">
      <c r="B95" s="99" t="s">
        <v>861</v>
      </c>
      <c r="C95" s="99">
        <v>40</v>
      </c>
      <c r="D95" s="99">
        <v>24</v>
      </c>
      <c r="E95" s="99">
        <v>60</v>
      </c>
      <c r="F95" s="99">
        <v>70</v>
      </c>
      <c r="G95" s="99">
        <v>10</v>
      </c>
    </row>
    <row r="96" spans="2:7" ht="17.25">
      <c r="B96" s="99" t="s">
        <v>862</v>
      </c>
      <c r="C96" s="99">
        <v>84</v>
      </c>
      <c r="D96" s="99" t="s">
        <v>863</v>
      </c>
      <c r="E96" s="99" t="s">
        <v>864</v>
      </c>
      <c r="F96" s="99">
        <v>67</v>
      </c>
      <c r="G96" s="99">
        <v>20</v>
      </c>
    </row>
    <row r="97" spans="2:7" ht="15.4">
      <c r="B97" s="99" t="s">
        <v>865</v>
      </c>
      <c r="C97" s="99">
        <v>100</v>
      </c>
      <c r="D97" s="99" t="s">
        <v>858</v>
      </c>
      <c r="E97" s="99" t="s">
        <v>858</v>
      </c>
      <c r="F97" s="99">
        <v>75</v>
      </c>
      <c r="G97" s="99">
        <v>100</v>
      </c>
    </row>
    <row r="98" spans="2:7" ht="15.4">
      <c r="B98" s="99" t="s">
        <v>866</v>
      </c>
      <c r="C98" s="99">
        <v>100</v>
      </c>
      <c r="D98" s="99" t="s">
        <v>858</v>
      </c>
      <c r="E98" s="99" t="s">
        <v>858</v>
      </c>
      <c r="F98" s="99" t="s">
        <v>198</v>
      </c>
      <c r="G98" s="99" t="s">
        <v>198</v>
      </c>
    </row>
    <row r="99" spans="2:7" ht="15.4">
      <c r="B99" s="99" t="s">
        <v>867</v>
      </c>
      <c r="C99" s="99">
        <v>100</v>
      </c>
      <c r="D99" s="99" t="s">
        <v>858</v>
      </c>
      <c r="E99" s="99" t="s">
        <v>858</v>
      </c>
      <c r="F99" s="99" t="s">
        <v>198</v>
      </c>
      <c r="G99" s="99" t="s">
        <v>198</v>
      </c>
    </row>
    <row r="100" spans="2:7" ht="30.75">
      <c r="B100" s="66" t="s">
        <v>868</v>
      </c>
      <c r="C100" s="99">
        <v>90</v>
      </c>
      <c r="D100" s="99" t="s">
        <v>858</v>
      </c>
      <c r="E100" s="99" t="s">
        <v>858</v>
      </c>
      <c r="F100" s="99">
        <v>3</v>
      </c>
      <c r="G100" s="99">
        <v>100</v>
      </c>
    </row>
    <row r="101" spans="2:7" ht="15.4">
      <c r="B101" s="62" t="s">
        <v>869</v>
      </c>
    </row>
    <row r="102" spans="2:7" ht="15.4">
      <c r="B102" s="62" t="s">
        <v>870</v>
      </c>
    </row>
    <row r="103" spans="2:7" ht="15.4"/>
    <row r="104" spans="2:7" ht="15.4">
      <c r="B104" s="95" t="s">
        <v>871</v>
      </c>
    </row>
    <row r="105" spans="2:7" ht="18.75">
      <c r="B105" s="62" t="s">
        <v>872</v>
      </c>
    </row>
    <row r="106" spans="2:7" ht="18.399999999999999">
      <c r="B106" s="62" t="s">
        <v>873</v>
      </c>
    </row>
    <row r="107" spans="2:7" ht="16.25" customHeight="1">
      <c r="B107" s="106" t="s">
        <v>874</v>
      </c>
      <c r="C107" s="106" t="s">
        <v>875</v>
      </c>
      <c r="D107" s="106"/>
    </row>
    <row r="108" spans="2:7" ht="15.4">
      <c r="B108" s="106"/>
      <c r="C108" s="106" t="s">
        <v>876</v>
      </c>
      <c r="D108" s="106"/>
    </row>
    <row r="109" spans="2:7" ht="15.4">
      <c r="B109" s="106"/>
      <c r="C109" s="98" t="s">
        <v>877</v>
      </c>
      <c r="D109" s="98" t="s">
        <v>878</v>
      </c>
    </row>
    <row r="110" spans="2:7" ht="15.4">
      <c r="B110" s="107" t="s">
        <v>879</v>
      </c>
      <c r="C110" s="103">
        <v>10</v>
      </c>
      <c r="D110" s="103">
        <v>4</v>
      </c>
    </row>
    <row r="111" spans="2:7" ht="15.4">
      <c r="B111" s="107"/>
      <c r="C111" s="104" t="s">
        <v>880</v>
      </c>
      <c r="D111" s="104" t="s">
        <v>881</v>
      </c>
    </row>
    <row r="112" spans="2:7" ht="15.4">
      <c r="B112" s="107" t="s">
        <v>882</v>
      </c>
      <c r="C112" s="103">
        <v>2</v>
      </c>
      <c r="D112" s="103">
        <v>1</v>
      </c>
    </row>
    <row r="113" spans="2:4" ht="15.4">
      <c r="B113" s="107"/>
      <c r="C113" s="104" t="s">
        <v>883</v>
      </c>
      <c r="D113" s="104" t="s">
        <v>884</v>
      </c>
    </row>
    <row r="114" spans="2:4" ht="15.4">
      <c r="B114" s="62" t="s">
        <v>885</v>
      </c>
    </row>
    <row r="115" spans="2:4" ht="15.4"/>
    <row r="116" spans="2:4" ht="18.75">
      <c r="B116" s="62" t="s">
        <v>886</v>
      </c>
    </row>
    <row r="117" spans="2:4" ht="18.399999999999999">
      <c r="B117" s="62" t="s">
        <v>887</v>
      </c>
    </row>
    <row r="118" spans="2:4" ht="15.4">
      <c r="B118" s="108" t="s">
        <v>874</v>
      </c>
      <c r="C118" s="106" t="s">
        <v>888</v>
      </c>
      <c r="D118" s="106"/>
    </row>
    <row r="119" spans="2:4" ht="15.4">
      <c r="B119" s="108"/>
      <c r="C119" s="106" t="s">
        <v>876</v>
      </c>
      <c r="D119" s="106"/>
    </row>
    <row r="120" spans="2:4" ht="15.4">
      <c r="B120" s="108"/>
      <c r="C120" s="98" t="s">
        <v>877</v>
      </c>
      <c r="D120" s="98" t="s">
        <v>878</v>
      </c>
    </row>
    <row r="121" spans="2:4" ht="15.4">
      <c r="B121" s="107" t="s">
        <v>879</v>
      </c>
      <c r="C121" s="103">
        <v>0.6</v>
      </c>
      <c r="D121" s="103">
        <v>0.24</v>
      </c>
    </row>
    <row r="122" spans="2:4" ht="15.4">
      <c r="B122" s="107"/>
      <c r="C122" s="104" t="s">
        <v>889</v>
      </c>
      <c r="D122" s="104" t="s">
        <v>890</v>
      </c>
    </row>
    <row r="123" spans="2:4" ht="15.4">
      <c r="B123" s="99" t="s">
        <v>882</v>
      </c>
      <c r="C123" s="99" t="s">
        <v>891</v>
      </c>
      <c r="D123" s="99" t="s">
        <v>891</v>
      </c>
    </row>
    <row r="124" spans="2:4" ht="15.4">
      <c r="B124" s="62" t="s">
        <v>892</v>
      </c>
    </row>
  </sheetData>
  <mergeCells count="16">
    <mergeCell ref="B121:B122"/>
    <mergeCell ref="B107:B109"/>
    <mergeCell ref="C107:D107"/>
    <mergeCell ref="C108:D108"/>
    <mergeCell ref="B110:B111"/>
    <mergeCell ref="B112:B113"/>
    <mergeCell ref="B118:B120"/>
    <mergeCell ref="C118:D118"/>
    <mergeCell ref="C119:D119"/>
    <mergeCell ref="B14:D14"/>
    <mergeCell ref="B18:D18"/>
    <mergeCell ref="B37:D37"/>
    <mergeCell ref="B39:D39"/>
    <mergeCell ref="B49:B51"/>
    <mergeCell ref="C49:D49"/>
    <mergeCell ref="C50:D50"/>
  </mergeCells>
  <phoneticPr fontId="9" type="noConversion"/>
  <pageMargins left="0.70000000000000007" right="0.70000000000000007" top="0.75" bottom="0.75" header="0.30000000000000004" footer="0.3000000000000000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workbookViewId="0"/>
  </sheetViews>
  <sheetFormatPr defaultColWidth="8.53125" defaultRowHeight="15.6"/>
  <cols>
    <col min="1" max="1" width="39.1328125" style="113" customWidth="1"/>
    <col min="2" max="3" width="19.9296875" style="5" customWidth="1"/>
    <col min="4" max="4" width="8.53125" style="5" customWidth="1"/>
    <col min="5" max="16384" width="8.53125" style="5"/>
  </cols>
  <sheetData>
    <row r="1" spans="1:3" ht="15.4">
      <c r="A1" s="109" t="s">
        <v>32</v>
      </c>
    </row>
    <row r="2" spans="1:3" ht="15.4">
      <c r="A2" s="68" t="s">
        <v>893</v>
      </c>
      <c r="B2" s="68" t="s">
        <v>894</v>
      </c>
      <c r="C2" s="68" t="s">
        <v>895</v>
      </c>
    </row>
    <row r="3" spans="1:3" ht="18.399999999999999">
      <c r="A3" s="110" t="s">
        <v>896</v>
      </c>
      <c r="B3" s="111" t="s">
        <v>49</v>
      </c>
      <c r="C3" s="111">
        <v>1</v>
      </c>
    </row>
    <row r="4" spans="1:3" ht="18.399999999999999">
      <c r="A4" s="110" t="s">
        <v>897</v>
      </c>
      <c r="B4" s="111" t="s">
        <v>50</v>
      </c>
      <c r="C4" s="111">
        <v>28</v>
      </c>
    </row>
    <row r="5" spans="1:3" ht="18.399999999999999">
      <c r="A5" s="110" t="s">
        <v>898</v>
      </c>
      <c r="B5" s="111" t="s">
        <v>50</v>
      </c>
      <c r="C5" s="111">
        <v>30</v>
      </c>
    </row>
    <row r="6" spans="1:3" ht="18.399999999999999">
      <c r="A6" s="110" t="s">
        <v>899</v>
      </c>
      <c r="B6" s="111" t="s">
        <v>51</v>
      </c>
      <c r="C6" s="111">
        <v>265</v>
      </c>
    </row>
    <row r="7" spans="1:3" ht="15.4">
      <c r="A7" s="114" t="s">
        <v>900</v>
      </c>
      <c r="B7" s="114"/>
      <c r="C7" s="114"/>
    </row>
    <row r="8" spans="1:3" ht="18.399999999999999">
      <c r="A8" s="110" t="s">
        <v>901</v>
      </c>
      <c r="B8" s="111" t="s">
        <v>660</v>
      </c>
      <c r="C8" s="112">
        <v>12400</v>
      </c>
    </row>
    <row r="9" spans="1:3" ht="18.399999999999999">
      <c r="A9" s="110" t="s">
        <v>902</v>
      </c>
      <c r="B9" s="111" t="s">
        <v>661</v>
      </c>
      <c r="C9" s="111">
        <v>677</v>
      </c>
    </row>
    <row r="10" spans="1:3" ht="18.399999999999999">
      <c r="A10" s="110" t="s">
        <v>903</v>
      </c>
      <c r="B10" s="111" t="s">
        <v>662</v>
      </c>
      <c r="C10" s="111">
        <v>116</v>
      </c>
    </row>
    <row r="11" spans="1:3" ht="18.399999999999999">
      <c r="A11" s="110" t="s">
        <v>904</v>
      </c>
      <c r="B11" s="111" t="s">
        <v>905</v>
      </c>
      <c r="C11" s="112">
        <v>3170</v>
      </c>
    </row>
    <row r="12" spans="1:3" ht="18.399999999999999">
      <c r="A12" s="110" t="s">
        <v>906</v>
      </c>
      <c r="B12" s="111" t="s">
        <v>907</v>
      </c>
      <c r="C12" s="112">
        <v>1120</v>
      </c>
    </row>
    <row r="13" spans="1:3" ht="18.399999999999999">
      <c r="A13" s="110" t="s">
        <v>908</v>
      </c>
      <c r="B13" s="111" t="s">
        <v>909</v>
      </c>
      <c r="C13" s="112">
        <v>1300</v>
      </c>
    </row>
    <row r="14" spans="1:3" ht="18.399999999999999">
      <c r="A14" s="110" t="s">
        <v>910</v>
      </c>
      <c r="B14" s="111" t="s">
        <v>911</v>
      </c>
      <c r="C14" s="111">
        <v>328</v>
      </c>
    </row>
    <row r="15" spans="1:3" ht="18.399999999999999">
      <c r="A15" s="110" t="s">
        <v>912</v>
      </c>
      <c r="B15" s="111" t="s">
        <v>913</v>
      </c>
      <c r="C15" s="112">
        <v>4800</v>
      </c>
    </row>
    <row r="16" spans="1:3" ht="18.399999999999999">
      <c r="A16" s="110" t="s">
        <v>914</v>
      </c>
      <c r="B16" s="111" t="s">
        <v>915</v>
      </c>
      <c r="C16" s="111">
        <v>16</v>
      </c>
    </row>
    <row r="17" spans="1:3" ht="18.399999999999999">
      <c r="A17" s="110" t="s">
        <v>916</v>
      </c>
      <c r="B17" s="111" t="s">
        <v>917</v>
      </c>
      <c r="C17" s="111">
        <v>138</v>
      </c>
    </row>
    <row r="18" spans="1:3" ht="18.399999999999999">
      <c r="A18" s="110" t="s">
        <v>918</v>
      </c>
      <c r="B18" s="111" t="s">
        <v>919</v>
      </c>
      <c r="C18" s="111">
        <v>4</v>
      </c>
    </row>
    <row r="19" spans="1:3" ht="18.399999999999999">
      <c r="A19" s="110" t="s">
        <v>920</v>
      </c>
      <c r="B19" s="111" t="s">
        <v>921</v>
      </c>
      <c r="C19" s="112">
        <v>2640</v>
      </c>
    </row>
    <row r="20" spans="1:3" ht="18.399999999999999">
      <c r="A20" s="110" t="s">
        <v>922</v>
      </c>
      <c r="B20" s="111" t="s">
        <v>923</v>
      </c>
      <c r="C20" s="112">
        <v>3350</v>
      </c>
    </row>
    <row r="21" spans="1:3" ht="18.399999999999999">
      <c r="A21" s="110" t="s">
        <v>924</v>
      </c>
      <c r="B21" s="111" t="s">
        <v>925</v>
      </c>
      <c r="C21" s="112">
        <v>1210</v>
      </c>
    </row>
    <row r="22" spans="1:3" ht="18.399999999999999">
      <c r="A22" s="110" t="s">
        <v>926</v>
      </c>
      <c r="B22" s="111" t="s">
        <v>927</v>
      </c>
      <c r="C22" s="112">
        <v>1330</v>
      </c>
    </row>
    <row r="23" spans="1:3" ht="18.399999999999999">
      <c r="A23" s="110" t="s">
        <v>928</v>
      </c>
      <c r="B23" s="111" t="s">
        <v>929</v>
      </c>
      <c r="C23" s="112">
        <v>8060</v>
      </c>
    </row>
    <row r="24" spans="1:3" ht="18.399999999999999">
      <c r="A24" s="110" t="s">
        <v>930</v>
      </c>
      <c r="B24" s="111" t="s">
        <v>931</v>
      </c>
      <c r="C24" s="111">
        <v>716</v>
      </c>
    </row>
    <row r="25" spans="1:3" ht="18.399999999999999">
      <c r="A25" s="110" t="s">
        <v>932</v>
      </c>
      <c r="B25" s="111" t="s">
        <v>933</v>
      </c>
      <c r="C25" s="112">
        <v>4620</v>
      </c>
    </row>
    <row r="26" spans="1:3" ht="18.399999999999999">
      <c r="A26" s="110" t="s">
        <v>934</v>
      </c>
      <c r="B26" s="111" t="s">
        <v>935</v>
      </c>
      <c r="C26" s="111">
        <v>235</v>
      </c>
    </row>
    <row r="27" spans="1:3" ht="18.399999999999999">
      <c r="A27" s="110" t="s">
        <v>936</v>
      </c>
      <c r="B27" s="111" t="s">
        <v>937</v>
      </c>
      <c r="C27" s="111">
        <v>290</v>
      </c>
    </row>
    <row r="28" spans="1:3" ht="18.399999999999999">
      <c r="A28" s="110" t="s">
        <v>938</v>
      </c>
      <c r="B28" s="111" t="s">
        <v>939</v>
      </c>
      <c r="C28" s="111">
        <v>858</v>
      </c>
    </row>
    <row r="29" spans="1:3" ht="18.399999999999999">
      <c r="A29" s="110" t="s">
        <v>940</v>
      </c>
      <c r="B29" s="111" t="s">
        <v>941</v>
      </c>
      <c r="C29" s="111">
        <v>76</v>
      </c>
    </row>
    <row r="30" spans="1:3" ht="18.399999999999999">
      <c r="A30" s="110" t="s">
        <v>942</v>
      </c>
      <c r="B30" s="111" t="s">
        <v>943</v>
      </c>
      <c r="C30" s="111">
        <v>144</v>
      </c>
    </row>
    <row r="31" spans="1:3" ht="18.399999999999999">
      <c r="A31" s="110" t="s">
        <v>944</v>
      </c>
      <c r="B31" s="111" t="s">
        <v>945</v>
      </c>
      <c r="C31" s="112">
        <v>2360</v>
      </c>
    </row>
    <row r="32" spans="1:3" ht="18.399999999999999">
      <c r="A32" s="110" t="s">
        <v>946</v>
      </c>
      <c r="B32" s="111" t="s">
        <v>947</v>
      </c>
      <c r="C32" s="111">
        <v>804</v>
      </c>
    </row>
    <row r="33" spans="1:3" ht="18.399999999999999">
      <c r="A33" s="110" t="s">
        <v>948</v>
      </c>
      <c r="B33" s="111" t="s">
        <v>949</v>
      </c>
      <c r="C33" s="112">
        <v>1650</v>
      </c>
    </row>
    <row r="34" spans="1:3" ht="18.399999999999999">
      <c r="A34" s="110" t="s">
        <v>950</v>
      </c>
      <c r="B34" s="111" t="s">
        <v>951</v>
      </c>
      <c r="C34" s="111" t="s">
        <v>952</v>
      </c>
    </row>
    <row r="35" spans="1:3" ht="18.399999999999999">
      <c r="A35" s="110" t="s">
        <v>953</v>
      </c>
      <c r="B35" s="111" t="s">
        <v>954</v>
      </c>
      <c r="C35" s="111" t="s">
        <v>952</v>
      </c>
    </row>
    <row r="36" spans="1:3" ht="18.399999999999999">
      <c r="A36" s="110" t="s">
        <v>955</v>
      </c>
      <c r="B36" s="111" t="s">
        <v>956</v>
      </c>
      <c r="C36" s="111" t="s">
        <v>952</v>
      </c>
    </row>
    <row r="37" spans="1:3" ht="18.399999999999999">
      <c r="A37" s="110" t="s">
        <v>957</v>
      </c>
      <c r="B37" s="111" t="s">
        <v>958</v>
      </c>
      <c r="C37" s="111" t="s">
        <v>952</v>
      </c>
    </row>
    <row r="38" spans="1:3" ht="18.399999999999999">
      <c r="A38" s="110" t="s">
        <v>959</v>
      </c>
      <c r="B38" s="111" t="s">
        <v>960</v>
      </c>
      <c r="C38" s="111" t="s">
        <v>952</v>
      </c>
    </row>
    <row r="39" spans="1:3" ht="18.399999999999999">
      <c r="A39" s="110" t="s">
        <v>961</v>
      </c>
      <c r="B39" s="111" t="s">
        <v>962</v>
      </c>
      <c r="C39" s="111" t="s">
        <v>952</v>
      </c>
    </row>
    <row r="40" spans="1:3" ht="18.399999999999999">
      <c r="A40" s="110" t="s">
        <v>963</v>
      </c>
      <c r="B40" s="111" t="s">
        <v>964</v>
      </c>
      <c r="C40" s="111" t="s">
        <v>952</v>
      </c>
    </row>
    <row r="41" spans="1:3" ht="18.399999999999999">
      <c r="A41" s="110" t="s">
        <v>965</v>
      </c>
      <c r="B41" s="111" t="s">
        <v>966</v>
      </c>
      <c r="C41" s="111">
        <v>2</v>
      </c>
    </row>
    <row r="42" spans="1:3" ht="18.399999999999999">
      <c r="A42" s="110" t="s">
        <v>967</v>
      </c>
      <c r="B42" s="111" t="s">
        <v>968</v>
      </c>
      <c r="C42" s="111" t="s">
        <v>952</v>
      </c>
    </row>
    <row r="43" spans="1:3" ht="18.399999999999999">
      <c r="A43" s="110" t="s">
        <v>969</v>
      </c>
      <c r="B43" s="111" t="s">
        <v>970</v>
      </c>
      <c r="C43" s="111" t="s">
        <v>952</v>
      </c>
    </row>
    <row r="44" spans="1:3" ht="18.399999999999999">
      <c r="A44" s="110" t="s">
        <v>971</v>
      </c>
      <c r="B44" s="111" t="s">
        <v>972</v>
      </c>
      <c r="C44" s="111" t="s">
        <v>952</v>
      </c>
    </row>
    <row r="45" spans="1:3" ht="18.399999999999999">
      <c r="A45" s="110" t="s">
        <v>973</v>
      </c>
      <c r="B45" s="111" t="s">
        <v>974</v>
      </c>
      <c r="C45" s="111" t="s">
        <v>952</v>
      </c>
    </row>
    <row r="46" spans="1:3" ht="18.399999999999999">
      <c r="A46" s="110" t="s">
        <v>975</v>
      </c>
      <c r="B46" s="111" t="s">
        <v>976</v>
      </c>
      <c r="C46" s="111" t="s">
        <v>952</v>
      </c>
    </row>
    <row r="47" spans="1:3" ht="15.4">
      <c r="A47" s="114" t="s">
        <v>977</v>
      </c>
      <c r="B47" s="114"/>
      <c r="C47" s="114"/>
    </row>
    <row r="48" spans="1:3" ht="18.399999999999999">
      <c r="A48" s="110" t="s">
        <v>978</v>
      </c>
      <c r="B48" s="111" t="s">
        <v>664</v>
      </c>
      <c r="C48" s="112">
        <v>16100</v>
      </c>
    </row>
    <row r="49" spans="1:3" ht="18.399999999999999">
      <c r="A49" s="110" t="s">
        <v>979</v>
      </c>
      <c r="B49" s="111" t="s">
        <v>665</v>
      </c>
      <c r="C49" s="112">
        <v>23500</v>
      </c>
    </row>
    <row r="50" spans="1:3" ht="18.399999999999999">
      <c r="A50" s="110" t="s">
        <v>980</v>
      </c>
      <c r="B50" s="111" t="s">
        <v>981</v>
      </c>
      <c r="C50" s="112">
        <v>17400</v>
      </c>
    </row>
    <row r="51" spans="1:3" ht="18.399999999999999">
      <c r="A51" s="110" t="s">
        <v>982</v>
      </c>
      <c r="B51" s="111" t="s">
        <v>983</v>
      </c>
      <c r="C51" s="112">
        <v>4090</v>
      </c>
    </row>
    <row r="52" spans="1:3" ht="18.399999999999999">
      <c r="A52" s="110" t="s">
        <v>984</v>
      </c>
      <c r="B52" s="111" t="s">
        <v>652</v>
      </c>
      <c r="C52" s="112">
        <v>6630</v>
      </c>
    </row>
    <row r="53" spans="1:3" ht="18.399999999999999">
      <c r="A53" s="110" t="s">
        <v>985</v>
      </c>
      <c r="B53" s="111" t="s">
        <v>654</v>
      </c>
      <c r="C53" s="112">
        <v>11100</v>
      </c>
    </row>
    <row r="54" spans="1:3" ht="18.399999999999999">
      <c r="A54" s="110" t="s">
        <v>986</v>
      </c>
      <c r="B54" s="111" t="s">
        <v>987</v>
      </c>
      <c r="C54" s="112">
        <v>9200</v>
      </c>
    </row>
    <row r="55" spans="1:3" ht="18.399999999999999">
      <c r="A55" s="110" t="s">
        <v>988</v>
      </c>
      <c r="B55" s="111" t="s">
        <v>655</v>
      </c>
      <c r="C55" s="112">
        <v>8900</v>
      </c>
    </row>
    <row r="56" spans="1:3" ht="18.399999999999999">
      <c r="A56" s="110" t="s">
        <v>989</v>
      </c>
      <c r="B56" s="111" t="s">
        <v>657</v>
      </c>
      <c r="C56" s="112">
        <v>9540</v>
      </c>
    </row>
    <row r="57" spans="1:3" ht="18.399999999999999">
      <c r="A57" s="110" t="s">
        <v>990</v>
      </c>
      <c r="B57" s="111" t="s">
        <v>991</v>
      </c>
      <c r="C57" s="112">
        <v>9200</v>
      </c>
    </row>
    <row r="58" spans="1:3" ht="18.399999999999999">
      <c r="A58" s="110" t="s">
        <v>992</v>
      </c>
      <c r="B58" s="111" t="s">
        <v>993</v>
      </c>
      <c r="C58" s="111">
        <v>2</v>
      </c>
    </row>
    <row r="59" spans="1:3" ht="18.399999999999999">
      <c r="A59" s="110" t="s">
        <v>994</v>
      </c>
      <c r="B59" s="111" t="s">
        <v>995</v>
      </c>
      <c r="C59" s="112">
        <v>8550</v>
      </c>
    </row>
    <row r="60" spans="1:3" ht="18.399999999999999">
      <c r="A60" s="110" t="s">
        <v>996</v>
      </c>
      <c r="B60" s="111" t="s">
        <v>997</v>
      </c>
      <c r="C60" s="112">
        <v>7910</v>
      </c>
    </row>
    <row r="61" spans="1:3" ht="18.399999999999999">
      <c r="A61" s="110" t="s">
        <v>998</v>
      </c>
      <c r="B61" s="111" t="s">
        <v>999</v>
      </c>
      <c r="C61" s="112">
        <v>7820</v>
      </c>
    </row>
    <row r="62" spans="1:3" ht="18.399999999999999">
      <c r="A62" s="110" t="s">
        <v>1000</v>
      </c>
      <c r="B62" s="111" t="s">
        <v>1001</v>
      </c>
      <c r="C62" s="112">
        <v>7620</v>
      </c>
    </row>
    <row r="63" spans="1:3" ht="18.399999999999999">
      <c r="A63" s="110" t="s">
        <v>1002</v>
      </c>
      <c r="B63" s="111" t="s">
        <v>1003</v>
      </c>
      <c r="C63" s="112">
        <v>7190</v>
      </c>
    </row>
    <row r="64" spans="1:3" ht="18.399999999999999">
      <c r="A64" s="110" t="s">
        <v>1004</v>
      </c>
      <c r="B64" s="111" t="s">
        <v>1005</v>
      </c>
      <c r="C64" s="112">
        <v>7240</v>
      </c>
    </row>
    <row r="65" spans="1:3" ht="18.399999999999999">
      <c r="A65" s="110" t="s">
        <v>1006</v>
      </c>
      <c r="B65" s="111" t="s">
        <v>1007</v>
      </c>
      <c r="C65" s="112">
        <v>6290</v>
      </c>
    </row>
    <row r="66" spans="1:3" ht="18.399999999999999">
      <c r="A66" s="110" t="s">
        <v>1008</v>
      </c>
      <c r="B66" s="111" t="s">
        <v>1009</v>
      </c>
      <c r="C66" s="111" t="s">
        <v>952</v>
      </c>
    </row>
    <row r="67" spans="1:3" ht="18.399999999999999">
      <c r="A67" s="110" t="s">
        <v>1010</v>
      </c>
      <c r="B67" s="111" t="s">
        <v>1011</v>
      </c>
      <c r="C67" s="111" t="s">
        <v>952</v>
      </c>
    </row>
    <row r="68" spans="1:3" ht="18.399999999999999">
      <c r="A68" s="110" t="s">
        <v>1012</v>
      </c>
      <c r="B68" s="111" t="s">
        <v>1013</v>
      </c>
      <c r="C68" s="111" t="s">
        <v>952</v>
      </c>
    </row>
    <row r="69" spans="1:3" ht="18.399999999999999">
      <c r="A69" s="110" t="s">
        <v>1014</v>
      </c>
      <c r="B69" s="111" t="s">
        <v>1015</v>
      </c>
      <c r="C69" s="111" t="s">
        <v>952</v>
      </c>
    </row>
    <row r="70" spans="1:3" ht="18.399999999999999">
      <c r="A70" s="110" t="s">
        <v>1016</v>
      </c>
      <c r="B70" s="111" t="s">
        <v>1017</v>
      </c>
      <c r="C70" s="111">
        <v>2</v>
      </c>
    </row>
    <row r="71" spans="1:3" ht="15.4">
      <c r="A71" s="113" t="s">
        <v>1018</v>
      </c>
    </row>
    <row r="72" spans="1:3" ht="15.4">
      <c r="A72" s="113" t="s">
        <v>1019</v>
      </c>
    </row>
    <row r="73" spans="1:3" ht="15.4">
      <c r="A73" s="113" t="s">
        <v>1020</v>
      </c>
    </row>
    <row r="74" spans="1:3" ht="15.4">
      <c r="A74" s="113" t="s">
        <v>1021</v>
      </c>
    </row>
  </sheetData>
  <mergeCells count="2">
    <mergeCell ref="A7:C7"/>
    <mergeCell ref="A47:C47"/>
  </mergeCells>
  <phoneticPr fontId="9" type="noConversion"/>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已命名的範圍</vt:lpstr>
      </vt:variant>
      <vt:variant>
        <vt:i4>1</vt:i4>
      </vt:variant>
    </vt:vector>
  </HeadingPairs>
  <TitlesOfParts>
    <vt:vector size="11" baseType="lpstr">
      <vt:lpstr>說明</vt:lpstr>
      <vt:lpstr>附表一_固定燃排放源排放係數</vt:lpstr>
      <vt:lpstr>附表一_移動燃燒排放源排放係數</vt:lpstr>
      <vt:lpstr>附表二_非金屬礦物製品製造</vt:lpstr>
      <vt:lpstr>附表二_化學製品製造</vt:lpstr>
      <vt:lpstr>附表二_金屬製品製造</vt:lpstr>
      <vt:lpstr>附表二_非能源產品使用或生產</vt:lpstr>
      <vt:lpstr>附表二_電子製品製造</vt:lpstr>
      <vt:lpstr>附表三</vt:lpstr>
      <vt:lpstr>附表四</vt:lpstr>
      <vt:lpstr>附表三!_Hlk156317418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TE203</dc:creator>
  <cp:lastModifiedBy>user</cp:lastModifiedBy>
  <cp:lastPrinted>2015-12-17T02:23:35Z</cp:lastPrinted>
  <dcterms:created xsi:type="dcterms:W3CDTF">2005-07-21T10:21:11Z</dcterms:created>
  <dcterms:modified xsi:type="dcterms:W3CDTF">2025-05-25T05:38:06Z</dcterms:modified>
</cp:coreProperties>
</file>